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PycharmProjects\WelcomeScreen\"/>
    </mc:Choice>
  </mc:AlternateContent>
  <bookViews>
    <workbookView xWindow="0" yWindow="0" windowWidth="19180" windowHeight="7820" tabRatio="775" activeTab="1"/>
  </bookViews>
  <sheets>
    <sheet name="Sheet1 (6)" sheetId="11" r:id="rId1"/>
    <sheet name="Sheet1 (5)" sheetId="1" r:id="rId2"/>
    <sheet name="Sheet3" sheetId="13" r:id="rId3"/>
    <sheet name="Sheet4" sheetId="14" r:id="rId4"/>
    <sheet name="Sheet2" sheetId="9" r:id="rId5"/>
    <sheet name="Sheet1" sheetId="12" r:id="rId6"/>
  </sheets>
  <definedNames>
    <definedName name="_xlnm._FilterDatabase" localSheetId="1" hidden="1">'Sheet1 (5)'!$A$1:$AC$65</definedName>
    <definedName name="_xlnm._FilterDatabase" localSheetId="0" hidden="1">'Sheet1 (6)'!$A$3:$G$16</definedName>
    <definedName name="_xlnm.Print_Area" localSheetId="1">'Sheet1 (5)'!$A$1:$AC$64</definedName>
    <definedName name="_xlnm.Print_Area" localSheetId="0">'Sheet1 (6)'!$A$1:$H$16</definedName>
    <definedName name="_xlnm.Print_Titles" localSheetId="1">'Sheet1 (5)'!$K:$K,'Sheet1 (5)'!$1:$1</definedName>
    <definedName name="_xlnm.Print_Titles" localSheetId="0">'Sheet1 (6)'!$D:$D,'Sheet1 (6)'!$3:$3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9" l="1"/>
  <c r="G12" i="9" l="1"/>
  <c r="H12" i="9"/>
  <c r="H17" i="9"/>
  <c r="G17" i="9"/>
  <c r="H8" i="9" l="1"/>
  <c r="G8" i="9"/>
  <c r="P12" i="9"/>
  <c r="C12" i="9" l="1"/>
  <c r="C2" i="9"/>
  <c r="C10" i="9" l="1"/>
  <c r="I17" i="9" l="1"/>
  <c r="I12" i="9"/>
  <c r="I8" i="9"/>
  <c r="F4" i="9" l="1"/>
  <c r="F3" i="9"/>
  <c r="F2" i="9"/>
  <c r="C3" i="9" l="1"/>
  <c r="C18" i="9"/>
  <c r="C17" i="9"/>
  <c r="C15" i="9"/>
  <c r="C13" i="9"/>
  <c r="C9" i="9"/>
  <c r="C8" i="9"/>
  <c r="C6" i="9"/>
  <c r="C5" i="9"/>
  <c r="C4" i="9"/>
</calcChain>
</file>

<file path=xl/connections.xml><?xml version="1.0" encoding="utf-8"?>
<connections xmlns="http://schemas.openxmlformats.org/spreadsheetml/2006/main">
  <connection id="1" sourceFile="C:\Users\abic13296.abic13296-PC\Documents\11B 2025-26 SHASHANK 1.xlsx" keepAlive="1" name="11B 2025-26 SHASHANK 1" type="5" refreshedVersion="0" new="1" background="1">
    <dbPr connection="Provider=Microsoft.ACE.OLEDB.12.0;Password=&quot;&quot;;User ID=Admin;Data Source=C:\Users\abic13296.abic13296-PC\Documents\11B 2025-26 SHASHANK 1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Sheet1 (2)$'" commandType="3"/>
  </connection>
</connections>
</file>

<file path=xl/sharedStrings.xml><?xml version="1.0" encoding="utf-8"?>
<sst xmlns="http://schemas.openxmlformats.org/spreadsheetml/2006/main" count="1396" uniqueCount="726">
  <si>
    <t>S.NO.</t>
  </si>
  <si>
    <t>S.R. NO.</t>
  </si>
  <si>
    <t>roll numer 10th</t>
  </si>
  <si>
    <t>PEN NUMBER</t>
  </si>
  <si>
    <t>AADHAR NO.</t>
  </si>
  <si>
    <t>D.O.B.</t>
  </si>
  <si>
    <t>DD</t>
  </si>
  <si>
    <t>MM</t>
  </si>
  <si>
    <t>YYYY</t>
  </si>
  <si>
    <t>STUDENT'S NAME</t>
  </si>
  <si>
    <t>STUDENT NAME IN HINDI</t>
  </si>
  <si>
    <t>FATHER'S NAME</t>
  </si>
  <si>
    <t>FATHER'S NAME IN HINDI</t>
  </si>
  <si>
    <t>MOTHER'S NAME</t>
  </si>
  <si>
    <t>MOTHER'S NAME IN HINDI</t>
  </si>
  <si>
    <t>GENDER</t>
  </si>
  <si>
    <t>CASTE</t>
  </si>
  <si>
    <t>CAT.</t>
  </si>
  <si>
    <t>RELIGION</t>
  </si>
  <si>
    <t xml:space="preserve">ADDRESS </t>
  </si>
  <si>
    <t>MOB. NO.</t>
  </si>
  <si>
    <t>EMAIL ID</t>
  </si>
  <si>
    <t>19</t>
  </si>
  <si>
    <t>11</t>
  </si>
  <si>
    <t>2008</t>
  </si>
  <si>
    <t>ABHIMANYU YADAV</t>
  </si>
  <si>
    <t>अभिमन्यु यादव</t>
  </si>
  <si>
    <t>SRILAL YADAV</t>
  </si>
  <si>
    <t>श्रीलाल यादव</t>
  </si>
  <si>
    <t>SONA DEVI</t>
  </si>
  <si>
    <t>सोना देवी</t>
  </si>
  <si>
    <t>M</t>
  </si>
  <si>
    <t>AHIR</t>
  </si>
  <si>
    <t>OBC</t>
  </si>
  <si>
    <t>H</t>
  </si>
  <si>
    <t>RAM NARAYAN KATRA RENUKOOT</t>
  </si>
  <si>
    <t>SONARKT1980@GMAIL.COM</t>
  </si>
  <si>
    <t>9392-9598-5025</t>
  </si>
  <si>
    <t>24</t>
  </si>
  <si>
    <t>02</t>
  </si>
  <si>
    <t>2009</t>
  </si>
  <si>
    <t>AJIT KUMAR</t>
  </si>
  <si>
    <t>अजीत कुमार</t>
  </si>
  <si>
    <t>MANOJ RAM</t>
  </si>
  <si>
    <t>मनोज राम</t>
  </si>
  <si>
    <t>SHEELA DEVI</t>
  </si>
  <si>
    <t>शीला देवी</t>
  </si>
  <si>
    <t>HARIJAN</t>
  </si>
  <si>
    <t>SC</t>
  </si>
  <si>
    <t>H1/35 ABCIL RENUKOOT</t>
  </si>
  <si>
    <t>AJITKUMAR93RKT@GMAIL.COM</t>
  </si>
  <si>
    <t>4253-7939-5883</t>
  </si>
  <si>
    <t>06</t>
  </si>
  <si>
    <t>05</t>
  </si>
  <si>
    <t>AKEEB AHMAD</t>
  </si>
  <si>
    <t>अकीब अहमद</t>
  </si>
  <si>
    <t>ZULPHIKAR AHMAD</t>
  </si>
  <si>
    <t>जुल्फिकार अहमद</t>
  </si>
  <si>
    <t>NAGMA BEGAM</t>
  </si>
  <si>
    <t>नगमा बेगम</t>
  </si>
  <si>
    <t>ISLAM</t>
  </si>
  <si>
    <t>GEN</t>
  </si>
  <si>
    <t>L-1072 HINDALCO COLONY RENUKOOT</t>
  </si>
  <si>
    <t>AAKEEBAHMAD4@GMAIL.COM</t>
  </si>
  <si>
    <t>17</t>
  </si>
  <si>
    <t>ANKIT KUMAR SHARMA</t>
  </si>
  <si>
    <t>अंकित कुमार शर्मा</t>
  </si>
  <si>
    <t>ARVIND KUMAR SHARMA</t>
  </si>
  <si>
    <t>अरविन्द कुमार शर्मा</t>
  </si>
  <si>
    <t>GUNJA DEVI</t>
  </si>
  <si>
    <t>गुन्जा देवी</t>
  </si>
  <si>
    <t>LOHAR</t>
  </si>
  <si>
    <t>HOUSE NUMBER 340 WARD NUMBER 16 SABJI MANDI RENUKUT</t>
  </si>
  <si>
    <t>ANKIT09RKT@GMAIL.COM</t>
  </si>
  <si>
    <t>01</t>
  </si>
  <si>
    <t>2011</t>
  </si>
  <si>
    <t>ANMOL KUMAR</t>
  </si>
  <si>
    <t>अनमोल कुमार</t>
  </si>
  <si>
    <t>SHIV POOJAN</t>
  </si>
  <si>
    <t>शिव पुजन</t>
  </si>
  <si>
    <t>DEV LATA DEVI</t>
  </si>
  <si>
    <t>देवलता देवी</t>
  </si>
  <si>
    <t>RONIYAR</t>
  </si>
  <si>
    <t>VISHWAKARMA NAGAR RENUKOOT</t>
  </si>
  <si>
    <t>AWANITK94@GMAIL.COM</t>
  </si>
  <si>
    <t>07</t>
  </si>
  <si>
    <t>ANURAG GUPTA</t>
  </si>
  <si>
    <t>अनुराग गुप्ता</t>
  </si>
  <si>
    <t>BANARSI PRASAD</t>
  </si>
  <si>
    <t>बनारसी प्रसाद</t>
  </si>
  <si>
    <t>RAMAVTI</t>
  </si>
  <si>
    <t>रमावती</t>
  </si>
  <si>
    <t>KANDU</t>
  </si>
  <si>
    <t>IN FRONT OF C226 HUT, TURRA, PIPRI,</t>
  </si>
  <si>
    <t>BANARASIPRASAD00@GMAIL.COM</t>
  </si>
  <si>
    <t>2270-9714-1598</t>
  </si>
  <si>
    <t>10</t>
  </si>
  <si>
    <t>08</t>
  </si>
  <si>
    <t>AWDHESH KUMAR</t>
  </si>
  <si>
    <t>अवधेश कुमार</t>
  </si>
  <si>
    <t>DEVDUTT YADAV</t>
  </si>
  <si>
    <t>देवदत्त यादव</t>
  </si>
  <si>
    <t>KIRAN DEVI</t>
  </si>
  <si>
    <t>किरन देवी</t>
  </si>
  <si>
    <t>I 708 HINDALCO COLONY RENUKOOT</t>
  </si>
  <si>
    <t>SUDESHWAR.PRASAD@GMAIL.COM</t>
  </si>
  <si>
    <t>2915-1341-6139</t>
  </si>
  <si>
    <t>04</t>
  </si>
  <si>
    <t>AYUSH KUMAR</t>
  </si>
  <si>
    <t>आयुष कुमार</t>
  </si>
  <si>
    <t>PARMESHWAR KUMAR</t>
  </si>
  <si>
    <t>परमेश्वर कुमार</t>
  </si>
  <si>
    <t>SARITA SAH</t>
  </si>
  <si>
    <t>सरिता साह</t>
  </si>
  <si>
    <t>GOND</t>
  </si>
  <si>
    <t>ST</t>
  </si>
  <si>
    <t>BACK ON M TYPE HOUSE</t>
  </si>
  <si>
    <t>SHASHCHINI171@GMAIL.COM</t>
  </si>
  <si>
    <t>03</t>
  </si>
  <si>
    <t>PAPPU KUMAR MEHTA</t>
  </si>
  <si>
    <t>पप्पू कुमार मेहता</t>
  </si>
  <si>
    <t>MALA DEVI</t>
  </si>
  <si>
    <t>माला देवी</t>
  </si>
  <si>
    <t>KOIRY</t>
  </si>
  <si>
    <t>MEHTAPAPPUKUMAR7400@GMAIL.COM</t>
  </si>
  <si>
    <t>18</t>
  </si>
  <si>
    <t>09</t>
  </si>
  <si>
    <t>CHANDAN KUMAR</t>
  </si>
  <si>
    <t>चंदन कुमार</t>
  </si>
  <si>
    <t>संगीता देवी</t>
  </si>
  <si>
    <t>21</t>
  </si>
  <si>
    <t>DEEPAK YADAV</t>
  </si>
  <si>
    <t>दीपक यादव</t>
  </si>
  <si>
    <t>KRISHNA YADAV</t>
  </si>
  <si>
    <t>कृष्णा यादव</t>
  </si>
  <si>
    <t>MAMTA DEVI</t>
  </si>
  <si>
    <t>ममता देवी</t>
  </si>
  <si>
    <t>NEAR V-MART PATEL BHAWAN RENUKOOT</t>
  </si>
  <si>
    <t>DEEPAKWATOLA2009@GMAIL.COM</t>
  </si>
  <si>
    <t>31</t>
  </si>
  <si>
    <t>GIRDHAR GOPAL</t>
  </si>
  <si>
    <t>गिरधर गोपाल</t>
  </si>
  <si>
    <t>DINESH KUMAR</t>
  </si>
  <si>
    <t>दिनेश कुमार</t>
  </si>
  <si>
    <t>PUSHPA DEVI</t>
  </si>
  <si>
    <t>पुष्पा देवी</t>
  </si>
  <si>
    <t>RAUNIYAR</t>
  </si>
  <si>
    <t>SAGOBANDH BABHANI</t>
  </si>
  <si>
    <t>GIRIDHARGOPAL7054@GMAIL.COM</t>
  </si>
  <si>
    <t>27</t>
  </si>
  <si>
    <t>SHIVA PARK RENUKOOT</t>
  </si>
  <si>
    <t>6615-4139-5409</t>
  </si>
  <si>
    <t>20</t>
  </si>
  <si>
    <t>KRISHNA KUMAR</t>
  </si>
  <si>
    <t>कृष्णा कुमार</t>
  </si>
  <si>
    <t>DAYANAND</t>
  </si>
  <si>
    <t>दयानन्द</t>
  </si>
  <si>
    <t>JAYATRI DEVI</t>
  </si>
  <si>
    <t>जयत्री देवी</t>
  </si>
  <si>
    <t>KRISHNABABU2072009@GMAIL.COM</t>
  </si>
  <si>
    <t>22</t>
  </si>
  <si>
    <t>12</t>
  </si>
  <si>
    <t>2010</t>
  </si>
  <si>
    <t>KUNAL PRATAP SINGH</t>
  </si>
  <si>
    <t>कुनाल प्रताप सिंह</t>
  </si>
  <si>
    <t>RAVINDRA KUMAR SINGH</t>
  </si>
  <si>
    <t>रविन्द्र कुमार सिंह</t>
  </si>
  <si>
    <t>UMA SINGH</t>
  </si>
  <si>
    <t>उमा सिंह</t>
  </si>
  <si>
    <t xml:space="preserve">KSHATIRIYA </t>
  </si>
  <si>
    <t>KHADH PATHAR MURDHWAH</t>
  </si>
  <si>
    <t>RAVISINGH82777@GMAIL.COM</t>
  </si>
  <si>
    <t>3021-6033-0557</t>
  </si>
  <si>
    <t>16</t>
  </si>
  <si>
    <t>MO. HASIM</t>
  </si>
  <si>
    <t>मो. हासिम</t>
  </si>
  <si>
    <t>AFTAB AHMAD</t>
  </si>
  <si>
    <t>आफताब अहमद</t>
  </si>
  <si>
    <t>SHAHAJAHAN PARVEEN</t>
  </si>
  <si>
    <t>शाहजहाँ परवीन</t>
  </si>
  <si>
    <t>VISHWAKARMA NAGAR</t>
  </si>
  <si>
    <t>KHANHASHIM93451@GMAIL.COM</t>
  </si>
  <si>
    <t>26</t>
  </si>
  <si>
    <t>PUSHPRAJ SHARMA</t>
  </si>
  <si>
    <t>पुष्पराज शर्मा</t>
  </si>
  <si>
    <t>SHIV SHANKAR SHARMA</t>
  </si>
  <si>
    <t>शिव शंकर शर्मा</t>
  </si>
  <si>
    <t>SUNITA SHARMA</t>
  </si>
  <si>
    <t>सुनीता शर्मा</t>
  </si>
  <si>
    <t xml:space="preserve">NAI </t>
  </si>
  <si>
    <t>T-1168 HINDALCO COLONY RENUKOOT</t>
  </si>
  <si>
    <t>SHARMAPUSPRAJ221@GMAIL.COM</t>
  </si>
  <si>
    <t>RAHUL KUMAR SINGH</t>
  </si>
  <si>
    <t>राहुल कुमार सिंह</t>
  </si>
  <si>
    <t>RAJESH KUMAR SINGH</t>
  </si>
  <si>
    <t>राजेश कुमार सिंह</t>
  </si>
  <si>
    <t>MAYA DEVI</t>
  </si>
  <si>
    <t>माया देवी</t>
  </si>
  <si>
    <t>KAHAR</t>
  </si>
  <si>
    <t>GRASIM INDUSTRY LIMITED,RENUKOOT</t>
  </si>
  <si>
    <t>RAJESHKUMARSINGH141983@GMAIL.COM</t>
  </si>
  <si>
    <t>ROHIT YADAV</t>
  </si>
  <si>
    <t>रोहित यादव</t>
  </si>
  <si>
    <t>MUNIB YADAV</t>
  </si>
  <si>
    <t>मुनीब यादव</t>
  </si>
  <si>
    <t>SINDHU DEVI</t>
  </si>
  <si>
    <t>सिन्धू देवी</t>
  </si>
  <si>
    <t>WARD NO. -08 CHACHA COLONY RENUKOOT</t>
  </si>
  <si>
    <t>MR.RY.ROHIT.YADAV@GMAIL.COM</t>
  </si>
  <si>
    <t>6980-5025-8006</t>
  </si>
  <si>
    <t>28</t>
  </si>
  <si>
    <t>RUDRAKSH SINGH</t>
  </si>
  <si>
    <t>रुद्राक्ष सिंह</t>
  </si>
  <si>
    <t>SHIV VIJAY SINGH</t>
  </si>
  <si>
    <t>शिव विजय सिंह</t>
  </si>
  <si>
    <t>USHA SINGH</t>
  </si>
  <si>
    <t>उषा सिंह</t>
  </si>
  <si>
    <t>KSHATRIYA</t>
  </si>
  <si>
    <t>WARD -11 CHACHA COL</t>
  </si>
  <si>
    <t>SINGHSHIVVIJAY75@GMAIL.COM</t>
  </si>
  <si>
    <t>7429-2349-3729</t>
  </si>
  <si>
    <t>SATISH KUMAR CHAURASIYA</t>
  </si>
  <si>
    <t>सतीश कुमार चौरसिया</t>
  </si>
  <si>
    <t>SANTOSH KUMAR CHAURASIYA</t>
  </si>
  <si>
    <t>सन्तोष कुमार चौरसिया</t>
  </si>
  <si>
    <t>REETA CHAURASIYA</t>
  </si>
  <si>
    <t>रीता चौरसिया</t>
  </si>
  <si>
    <t>BARAI</t>
  </si>
  <si>
    <t>SNTOSHCHAURASIYA8@GMAIL.COM</t>
  </si>
  <si>
    <t>8837-6094-3979</t>
  </si>
  <si>
    <t>SATYANAND YADAV</t>
  </si>
  <si>
    <t>सत्यानन्द यादव</t>
  </si>
  <si>
    <t>JAGDISH YADAV</t>
  </si>
  <si>
    <t>जगदीश यादव</t>
  </si>
  <si>
    <t>SANJU DEVI</t>
  </si>
  <si>
    <t>संजू देवी</t>
  </si>
  <si>
    <t>NEAR V-MART</t>
  </si>
  <si>
    <t>SATYANANDYADAV2010@GMAIL.COM</t>
  </si>
  <si>
    <t>SHASHIKANT TRIPATHI</t>
  </si>
  <si>
    <t>शशिकान्त त्रिपाठी</t>
  </si>
  <si>
    <t>KAMLESH KUMAR TRIPATHI</t>
  </si>
  <si>
    <t>कमलेश कुमार त्रिपाठी</t>
  </si>
  <si>
    <t>RINKI DEVI</t>
  </si>
  <si>
    <t>रिंकी देवी</t>
  </si>
  <si>
    <t>BRAHMIN</t>
  </si>
  <si>
    <t>I522 HINDALCO COLONY RENUKOOT</t>
  </si>
  <si>
    <t>KAMLESHKUMARTRIPATHI31@GMAIL.COM</t>
  </si>
  <si>
    <t>SHIV SAGAR YADAV</t>
  </si>
  <si>
    <t>शिव सागर यादव</t>
  </si>
  <si>
    <t>SANT RAJ YADAV</t>
  </si>
  <si>
    <t>संत राज यादव</t>
  </si>
  <si>
    <t>LALITA DEVI</t>
  </si>
  <si>
    <t>ललिता देवी</t>
  </si>
  <si>
    <t>WARD NO.-01 RAILWAY COLONY, TURRA RENUKOOT</t>
  </si>
  <si>
    <t>SY1721626@GMAIL.COM</t>
  </si>
  <si>
    <t>SHIVAM</t>
  </si>
  <si>
    <t>शिवम</t>
  </si>
  <si>
    <t>UDAY RAM</t>
  </si>
  <si>
    <t>उदय राम</t>
  </si>
  <si>
    <t>SANGITA DEVI</t>
  </si>
  <si>
    <t>WARD NO. -09 JHARNA BASTI RENUKOOT</t>
  </si>
  <si>
    <t>SANGITASANGITA77546@GMAIL.COM</t>
  </si>
  <si>
    <t>SHIVAM CHAURASIA</t>
  </si>
  <si>
    <t>शिवम चौरसिया</t>
  </si>
  <si>
    <t>SUBHASH CHAURASIA</t>
  </si>
  <si>
    <t>सुभाष चौरसिया</t>
  </si>
  <si>
    <t>SUNITA CHAURASIYA</t>
  </si>
  <si>
    <t>सुनीता चौरसिया</t>
  </si>
  <si>
    <t>HH-254 HINDALCO COLONY RENUKOOT</t>
  </si>
  <si>
    <t>SHUBHASHCHARKT@GMAIL.COM</t>
  </si>
  <si>
    <t>3193-1376-6740</t>
  </si>
  <si>
    <t>14</t>
  </si>
  <si>
    <t>SHIVAM MISHRA</t>
  </si>
  <si>
    <t>शिवम मिश्र</t>
  </si>
  <si>
    <t>GYAN PRAKASH MISHRA</t>
  </si>
  <si>
    <t>ज्ञान प्रकाश मिश्र</t>
  </si>
  <si>
    <t>MANJU DEVI</t>
  </si>
  <si>
    <t>मंजू देवी</t>
  </si>
  <si>
    <t>CHACHA COLONY RENUKOOT</t>
  </si>
  <si>
    <t>SKM498174@GMAIL.COM</t>
  </si>
  <si>
    <t>SURAJ YADAV</t>
  </si>
  <si>
    <t>सूरज यादव</t>
  </si>
  <si>
    <t>RAMKER YADAV</t>
  </si>
  <si>
    <t>रामकेर यादव</t>
  </si>
  <si>
    <t>KAUSHALYA DEVI</t>
  </si>
  <si>
    <t>कौशल्या देवी</t>
  </si>
  <si>
    <t>UMESHYADAV5277@GMAIL.COM</t>
  </si>
  <si>
    <t>13</t>
  </si>
  <si>
    <t>VANSH MITTAL</t>
  </si>
  <si>
    <t>वंश मित्तल</t>
  </si>
  <si>
    <t>RAJU MITTAL</t>
  </si>
  <si>
    <t>राजू मित्तल</t>
  </si>
  <si>
    <t>NEELAM MITTAL</t>
  </si>
  <si>
    <t>नीलम मित्तल</t>
  </si>
  <si>
    <t>BANIYA</t>
  </si>
  <si>
    <t>IN FRONT OF PNB SHIVAPARK</t>
  </si>
  <si>
    <t>RAJUAGRAWAL37850@GMAIL.COM</t>
  </si>
  <si>
    <t>VISHAL SINGH</t>
  </si>
  <si>
    <t>विशाल सिंह</t>
  </si>
  <si>
    <t>JAY PRAKASH SINGH</t>
  </si>
  <si>
    <t>जय प्रकाश सिंह</t>
  </si>
  <si>
    <t>BHAGMANI DEVI</t>
  </si>
  <si>
    <t>भागमनी देवी</t>
  </si>
  <si>
    <t xml:space="preserve">KURMI </t>
  </si>
  <si>
    <t>ABCIL HOSTEL RENUKOOT</t>
  </si>
  <si>
    <t>POOJA277504@GMAIL.COM</t>
  </si>
  <si>
    <t>7167-3905-0861</t>
  </si>
  <si>
    <t>VIVEK KUMAR SINGH</t>
  </si>
  <si>
    <t>विवेक कुमार सिंह</t>
  </si>
  <si>
    <t>VINOD KUMAR</t>
  </si>
  <si>
    <t>विनोद कुमार</t>
  </si>
  <si>
    <t>CHANDA DEVI</t>
  </si>
  <si>
    <t>चंदा देवी</t>
  </si>
  <si>
    <t>KOIRI</t>
  </si>
  <si>
    <t>WARD NUMBER 03 RENUKOOT</t>
  </si>
  <si>
    <t>vkmaurya1985up@gmail.com</t>
  </si>
  <si>
    <t>गीता देवी</t>
  </si>
  <si>
    <t>4243-3106-7988</t>
  </si>
  <si>
    <t>विष्णु कांत</t>
  </si>
  <si>
    <t>SANJAY KUMAR</t>
  </si>
  <si>
    <t>संजय कुमार</t>
  </si>
  <si>
    <t>LALTI DEVI</t>
  </si>
  <si>
    <t>लालती देवी</t>
  </si>
  <si>
    <t>RONIAR</t>
  </si>
  <si>
    <t>BAINA SAGOBANDH</t>
  </si>
  <si>
    <t>vishnu752398@gmail.com</t>
  </si>
  <si>
    <t>6126-4507-0552</t>
  </si>
  <si>
    <t>ANSHUL KUMAR</t>
  </si>
  <si>
    <t>अंशुल कुमार</t>
  </si>
  <si>
    <t>NANDLAL</t>
  </si>
  <si>
    <t>नन्दलाल</t>
  </si>
  <si>
    <t>NINTA DEVI</t>
  </si>
  <si>
    <t>निनता देवी</t>
  </si>
  <si>
    <t>KUMHAR</t>
  </si>
  <si>
    <t>KACHAN KIRBILA MAIYURPUR SONBHADRA</t>
  </si>
  <si>
    <t>anshulkum565@gmail.com</t>
  </si>
  <si>
    <t>4826-2982-3472</t>
  </si>
  <si>
    <t>ABHISHEK KUMAR</t>
  </si>
  <si>
    <t>अभिषेक कुमार</t>
  </si>
  <si>
    <t>GEETA DEVI</t>
  </si>
  <si>
    <t>abhishekkumar8989@gmail.com</t>
  </si>
  <si>
    <t>4403-7464-2243</t>
  </si>
  <si>
    <t>ABHISHEK GUPTA</t>
  </si>
  <si>
    <t>अभिषेक गुप्ता</t>
  </si>
  <si>
    <t>AYODHYA PRASAD</t>
  </si>
  <si>
    <t>अयोध्या प्रसाद</t>
  </si>
  <si>
    <t>SAPANA GUPTA</t>
  </si>
  <si>
    <t>सपना गुप्ता</t>
  </si>
  <si>
    <t>abhishekgupta24371626@gmail.com</t>
  </si>
  <si>
    <t>5483-1530-4549</t>
  </si>
  <si>
    <t>ASHUTOSH YADAV</t>
  </si>
  <si>
    <t>आशुतोष यादव</t>
  </si>
  <si>
    <t>YOGENDRA YADVA</t>
  </si>
  <si>
    <t>योगेन्द्र यादव</t>
  </si>
  <si>
    <t>I-1731 HINDALCO COLONY RENUKOOT SONEBHADRA</t>
  </si>
  <si>
    <t>YADAVKIRAN0435@GMAIL.COM</t>
  </si>
  <si>
    <t>4816-6395-9975</t>
  </si>
  <si>
    <t>ROHIT</t>
  </si>
  <si>
    <t>रोहित</t>
  </si>
  <si>
    <t>HARE RAM BIND</t>
  </si>
  <si>
    <t>हरे राम बिंद</t>
  </si>
  <si>
    <t>CHINTA DEVI</t>
  </si>
  <si>
    <t>चिंता देवी</t>
  </si>
  <si>
    <t>BIND</t>
  </si>
  <si>
    <t>NEAR CHARCH HI-TECH MURDHAWA</t>
  </si>
  <si>
    <t>ROHITKUMARRKT7347@GMAIL.COM</t>
  </si>
  <si>
    <t>1252269491</t>
  </si>
  <si>
    <t>DEV KUMAR</t>
  </si>
  <si>
    <t>देव कुमार</t>
  </si>
  <si>
    <t>KAUSHILYA</t>
  </si>
  <si>
    <t>कौशल्या</t>
  </si>
  <si>
    <t>T-231 HINDALCO COLONY RENUKOOT</t>
  </si>
  <si>
    <t>MY2766926@GMAIL.COM</t>
  </si>
  <si>
    <t>ANANDI KUMARI SINGH</t>
  </si>
  <si>
    <t>आनन्दी कुमारी सिंह</t>
  </si>
  <si>
    <t>SHRIRAM SINGH</t>
  </si>
  <si>
    <t>श्रीराम सिंह</t>
  </si>
  <si>
    <t>F</t>
  </si>
  <si>
    <t>JHOPADI NEAR BUS STAND</t>
  </si>
  <si>
    <t>VANDANASINGH8081961214@GMAIL.COM</t>
  </si>
  <si>
    <t>37070</t>
  </si>
  <si>
    <t>ANSHU SINGH</t>
  </si>
  <si>
    <t>अन्शु सिंह</t>
  </si>
  <si>
    <t>JITENDRA SINGH</t>
  </si>
  <si>
    <t>जितेन्द्र सिंह</t>
  </si>
  <si>
    <t>MANSHA SINGH</t>
  </si>
  <si>
    <t>मन्शा सिंह</t>
  </si>
  <si>
    <t>N-2334 HINDALCO COLONY RENUKOOT</t>
  </si>
  <si>
    <t>JITENDRASINGH76108@GMAIL.COM</t>
  </si>
  <si>
    <t>2037-9783-4010</t>
  </si>
  <si>
    <t>ANUSHKA YADAV</t>
  </si>
  <si>
    <t>अनुष्का यादव</t>
  </si>
  <si>
    <t>JAMAWANT SINGH YADAV</t>
  </si>
  <si>
    <t>जामवन्त सिंह यादव</t>
  </si>
  <si>
    <t>VINDA YADAV</t>
  </si>
  <si>
    <t>विन्दा यादव</t>
  </si>
  <si>
    <t>P-1177 HINDALCO COLONY RENUKOOT</t>
  </si>
  <si>
    <t>JAMVANTSINGHYADAV7889@GMAIL.COM</t>
  </si>
  <si>
    <t>ASTHA SINGH</t>
  </si>
  <si>
    <t>आस्था सिंह</t>
  </si>
  <si>
    <t>SANT KUMAR SINGH</t>
  </si>
  <si>
    <t>संत कुमार सिंह</t>
  </si>
  <si>
    <t>RANJANA SINGH</t>
  </si>
  <si>
    <t>रंजना सिंह</t>
  </si>
  <si>
    <t>LIONS CLUB SHIVA PARK RENUKOOT</t>
  </si>
  <si>
    <t>A23303084@GMAIL.COM</t>
  </si>
  <si>
    <t>ISHIKA KUMARI</t>
  </si>
  <si>
    <t>इशिका कुमारी</t>
  </si>
  <si>
    <t>SUSHIL KUMAR SHAH</t>
  </si>
  <si>
    <t>सुशील कुमार शाह</t>
  </si>
  <si>
    <t>RANJITA DEVI</t>
  </si>
  <si>
    <t>रंजीता देवी</t>
  </si>
  <si>
    <t>ISHIKAKUMARI2108@GMAIL.COM</t>
  </si>
  <si>
    <t>JIVAN JYOTI KUMARI</t>
  </si>
  <si>
    <t>जीवन ज्योति कुमारी</t>
  </si>
  <si>
    <t>VIRENDRA PRASAD YADAV</t>
  </si>
  <si>
    <t>वीरेन्द्र प्रसाद यादव</t>
  </si>
  <si>
    <t>SUNITA DEVI</t>
  </si>
  <si>
    <t>सुनीता देवी</t>
  </si>
  <si>
    <t>M-TYPE HINDALCO COLONY RENUKOOT</t>
  </si>
  <si>
    <t>JIVANJYOTIK0@GMAIL.COM</t>
  </si>
  <si>
    <t>25</t>
  </si>
  <si>
    <t>KHUSHI</t>
  </si>
  <si>
    <t>खुशी</t>
  </si>
  <si>
    <t>ALIMUDDIN ANSARI</t>
  </si>
  <si>
    <t>अलिमुद्दीन अंसारी</t>
  </si>
  <si>
    <t>BEBI BEGUM</t>
  </si>
  <si>
    <t>बेबी बेगम</t>
  </si>
  <si>
    <t>MUSLIM</t>
  </si>
  <si>
    <t>BADASHKHAN.RKT@GMAIL.COM</t>
  </si>
  <si>
    <t>29</t>
  </si>
  <si>
    <t>KHUSHI SINGH</t>
  </si>
  <si>
    <t>खुशी सिंह</t>
  </si>
  <si>
    <t>DURGA PRASAD SINGH</t>
  </si>
  <si>
    <t>दुर्गा प्रसाद सिंह</t>
  </si>
  <si>
    <t>REENA SINGH</t>
  </si>
  <si>
    <t>रीना सिंह</t>
  </si>
  <si>
    <t>K-II-25 HINDALCO COLONY RENUKOOT</t>
  </si>
  <si>
    <t>KHUSHISINGH37110@GMAIL.COM</t>
  </si>
  <si>
    <t>कुमारी आकृति</t>
  </si>
  <si>
    <t>RAM AUTAR</t>
  </si>
  <si>
    <t>राम औतार</t>
  </si>
  <si>
    <t>URMILA DEVI</t>
  </si>
  <si>
    <t>उर्मिला देवी</t>
  </si>
  <si>
    <t>KALAR</t>
  </si>
  <si>
    <t>NEAR V MART PRIMARY SCHOOL RENUKOOT</t>
  </si>
  <si>
    <t>AKRITISHISHTOLA2009@GMAIL.COM</t>
  </si>
  <si>
    <t>कु० चंचल</t>
  </si>
  <si>
    <t>PRADIP PRAJAPATI</t>
  </si>
  <si>
    <t>प्रदीप प्रजापति</t>
  </si>
  <si>
    <t xml:space="preserve">KUMHAR </t>
  </si>
  <si>
    <t>WARD NO-4 SHIVAPARK KT</t>
  </si>
  <si>
    <t>PARDIPAPARJAPATI@GMAIL.COM</t>
  </si>
  <si>
    <t>कुमारी मिमांशा</t>
  </si>
  <si>
    <t>SHAILENDRA KUMAR CHAUDHARY</t>
  </si>
  <si>
    <t>शैलेन्द्र कुमार चौधरी</t>
  </si>
  <si>
    <t>RINKI CHAUDHARY</t>
  </si>
  <si>
    <t>रिन्की चौधरी</t>
  </si>
  <si>
    <t>MALLAH</t>
  </si>
  <si>
    <t>H/3-1195 HINDALCO COLONY RENUKOOT</t>
  </si>
  <si>
    <t>KMIMANSHA6@GMAIL.COM</t>
  </si>
  <si>
    <t>KUMKUM</t>
  </si>
  <si>
    <t>कुमकुम</t>
  </si>
  <si>
    <t>VIJAY RAY</t>
  </si>
  <si>
    <t>विजय राय</t>
  </si>
  <si>
    <t>GUDIYA DEVI</t>
  </si>
  <si>
    <t>गुड़िया देवी</t>
  </si>
  <si>
    <t>RAJBHAR</t>
  </si>
  <si>
    <t>L-43 HINDALCO COLONY RENUKOOT</t>
  </si>
  <si>
    <t>VIJAYRAY6070@GMAIL.COM</t>
  </si>
  <si>
    <t>15</t>
  </si>
  <si>
    <t>MARIYAM NOOR</t>
  </si>
  <si>
    <t>मरियम नूर</t>
  </si>
  <si>
    <t>SHAUKAT ALI</t>
  </si>
  <si>
    <t>शौकत अली</t>
  </si>
  <si>
    <t>PARVIN BANO</t>
  </si>
  <si>
    <t>परवीन बानो</t>
  </si>
  <si>
    <t>RAINE</t>
  </si>
  <si>
    <t>SABJI MANDI RENUKOOT</t>
  </si>
  <si>
    <t>MARIYAMNOOR2009@GMAIL.COM</t>
  </si>
  <si>
    <t>NISHA MISHRA</t>
  </si>
  <si>
    <t>निशा मिश्रा</t>
  </si>
  <si>
    <t>MANOJ KUMAR MISHRA</t>
  </si>
  <si>
    <t>मनोज कुमार मिश्रा</t>
  </si>
  <si>
    <t>SAVITA DEVI</t>
  </si>
  <si>
    <t>सविता देवी</t>
  </si>
  <si>
    <t>HUT VISHWAKARMA NAGAR RENUKOOT</t>
  </si>
  <si>
    <t>SAVITAMISHRARKT@GMAIL.COM</t>
  </si>
  <si>
    <t>PRIYA KUMARI</t>
  </si>
  <si>
    <t>प्रिया कुमारी</t>
  </si>
  <si>
    <t>VINOD KUMAR GUPTA</t>
  </si>
  <si>
    <t>विनोद कुमार गुप्ता</t>
  </si>
  <si>
    <t>SEEMA DEVI</t>
  </si>
  <si>
    <t>सीमा देवी</t>
  </si>
  <si>
    <t>TELI</t>
  </si>
  <si>
    <t>KARAUNDI KONE SONEBAHDRA</t>
  </si>
  <si>
    <t>PRIYAAK32918@GMAIL.COM</t>
  </si>
  <si>
    <t>5471-3010-3175</t>
  </si>
  <si>
    <t>PURVI KUMARI</t>
  </si>
  <si>
    <t>पूर्वी कुमारी</t>
  </si>
  <si>
    <t>RUBI DEVI</t>
  </si>
  <si>
    <t>रूबी देवी</t>
  </si>
  <si>
    <t>C-226 PIPRI TURRA</t>
  </si>
  <si>
    <t>PURVEEKUMARI422@GMAIL.COM</t>
  </si>
  <si>
    <t>SANJANA KUMARI RAI</t>
  </si>
  <si>
    <t>संजना कुमारी राय</t>
  </si>
  <si>
    <t>DINESH KUMAR RAI</t>
  </si>
  <si>
    <t>दिनेश कुमार राय</t>
  </si>
  <si>
    <t>CHANDRAKALA DEVI</t>
  </si>
  <si>
    <t>चंद्रकला देवी</t>
  </si>
  <si>
    <t>BHUMIHAR</t>
  </si>
  <si>
    <t>HH-42 HINDALCO COLONY RENUKOOT</t>
  </si>
  <si>
    <t>SRAA90322@GMAIL.COM</t>
  </si>
  <si>
    <t>SHEESHAM KUMARI</t>
  </si>
  <si>
    <t>शीशम कुमारी</t>
  </si>
  <si>
    <t>SUSHIL PRASAD YADAV</t>
  </si>
  <si>
    <t>सुशील प्रसाद यादव</t>
  </si>
  <si>
    <t>M TYPE HINDALCO COLONY RENUKOOT</t>
  </si>
  <si>
    <t>TGEMAR368@GMAIL.COM</t>
  </si>
  <si>
    <t>SHWETA YADAV</t>
  </si>
  <si>
    <t>श्वेता यादव</t>
  </si>
  <si>
    <t>TAHSILDAR SINGH YADAV</t>
  </si>
  <si>
    <t>तहसीलदार सिंह यादव</t>
  </si>
  <si>
    <t>N-2612 HINDALCO COLONY RENUKOOT</t>
  </si>
  <si>
    <t>SHWETA37113@GMAIL.COM</t>
  </si>
  <si>
    <t>SNEHLATA BHARATI</t>
  </si>
  <si>
    <t>स्नेहलता भारती</t>
  </si>
  <si>
    <t>HARIKESH KUMAR</t>
  </si>
  <si>
    <t>हरिकेश कुमार</t>
  </si>
  <si>
    <t>SHYAMWATI DEVI</t>
  </si>
  <si>
    <t>श्यामवती देवी</t>
  </si>
  <si>
    <t>NEAR GURUDWARA TEMPLE RENUKOOT</t>
  </si>
  <si>
    <t>LATARKT231217@GMAIL.COM</t>
  </si>
  <si>
    <t>SUMAIYAH</t>
  </si>
  <si>
    <t>सुमैया</t>
  </si>
  <si>
    <t>HABIBULLAH</t>
  </si>
  <si>
    <t>हबीब उल्ला</t>
  </si>
  <si>
    <t>SAMINA KHATOON</t>
  </si>
  <si>
    <t>समीना खातुन</t>
  </si>
  <si>
    <t>ABDULLAHHABIB231217@GMAIL.COM</t>
  </si>
  <si>
    <t>SHRUTI PANDEY</t>
  </si>
  <si>
    <t>श्रुति पाण्डेय</t>
  </si>
  <si>
    <t>SANJAY KUMAR PANDEY</t>
  </si>
  <si>
    <t>संजय कुमार पाण्डेय</t>
  </si>
  <si>
    <t>SEEMA PANDEY</t>
  </si>
  <si>
    <t>सीमा पाण्डेय</t>
  </si>
  <si>
    <t>HH-127 HINDALCO COLONY RENUKOOT</t>
  </si>
  <si>
    <t>SPANDEY49567@GMAIL.COM</t>
  </si>
  <si>
    <t>TAJMIN BANO</t>
  </si>
  <si>
    <t>ताजमिन बानो</t>
  </si>
  <si>
    <t>MOHD. VAKIL</t>
  </si>
  <si>
    <t>मो. वकील</t>
  </si>
  <si>
    <t>SAHIN BEGUM</t>
  </si>
  <si>
    <t>साहीन बेगम</t>
  </si>
  <si>
    <t>HINDALCO HOSPITAL MORE RENUKOOT</t>
  </si>
  <si>
    <t>AHMADV3561@GMAIL.COM</t>
  </si>
  <si>
    <t>SWATI YADAV</t>
  </si>
  <si>
    <t>स्वाति यादव</t>
  </si>
  <si>
    <t>BADDOO RAM YADAV</t>
  </si>
  <si>
    <t>बद्दू राम यादव</t>
  </si>
  <si>
    <t>NIRMALA DEVI</t>
  </si>
  <si>
    <t>निर्मला देवी</t>
  </si>
  <si>
    <t>NIRMALA0101@GMAIL.COM</t>
  </si>
  <si>
    <t>UMRA</t>
  </si>
  <si>
    <t>उमरा</t>
  </si>
  <si>
    <t>MOHD SHAHZAD AHMAD</t>
  </si>
  <si>
    <t>मो० शहजाद अहमद</t>
  </si>
  <si>
    <t>SHABANA BEGUM</t>
  </si>
  <si>
    <t>शबाना बेगम</t>
  </si>
  <si>
    <t>NEAR RENU MEDICAL RENUKOOT</t>
  </si>
  <si>
    <t>KAYNAT26116@GMAIL.COM</t>
  </si>
  <si>
    <t>38995</t>
  </si>
  <si>
    <t>ANANYA YADAV</t>
  </si>
  <si>
    <t>अनन्या यादव</t>
  </si>
  <si>
    <t>DEVNARAYAN YADAV</t>
  </si>
  <si>
    <t>देवनारायण यादव</t>
  </si>
  <si>
    <t>VIMLA DEVI</t>
  </si>
  <si>
    <t>विमला देवी</t>
  </si>
  <si>
    <t>DAYADAV4303@GMAIL.COM</t>
  </si>
  <si>
    <t>01-01-2011`</t>
  </si>
  <si>
    <t>PRITI KUMARI</t>
  </si>
  <si>
    <t>प्रति कुमारी</t>
  </si>
  <si>
    <t>SUSHIL YADAV</t>
  </si>
  <si>
    <t>सुशील यादव</t>
  </si>
  <si>
    <t>ANITA DEVI</t>
  </si>
  <si>
    <t>अनिता देवी</t>
  </si>
  <si>
    <t>M-TYPE KHATAL RENUKOOT</t>
  </si>
  <si>
    <t>S826088@GMAIL.COM</t>
  </si>
  <si>
    <t>class</t>
  </si>
  <si>
    <t>Category</t>
  </si>
  <si>
    <t>Caste</t>
  </si>
  <si>
    <t>Gender</t>
  </si>
  <si>
    <t>SR NO</t>
  </si>
  <si>
    <t>ROLL NO.</t>
  </si>
  <si>
    <t>VISHNU KANT</t>
  </si>
  <si>
    <t>AKRITI</t>
  </si>
  <si>
    <t>CHANCHAL</t>
  </si>
  <si>
    <t>MIMANSHA</t>
  </si>
  <si>
    <t>OCCUPATION
Other-OTH /
 Hindalco -HE / Hindalco Supply- HS</t>
  </si>
  <si>
    <t>E.CODE</t>
  </si>
  <si>
    <t>DEPT.</t>
  </si>
  <si>
    <t>OTH</t>
  </si>
  <si>
    <t>HE</t>
  </si>
  <si>
    <t>026724</t>
  </si>
  <si>
    <t>E xt PRESS</t>
  </si>
  <si>
    <t xml:space="preserve"> </t>
  </si>
  <si>
    <t>SUPPLY</t>
  </si>
  <si>
    <t>025781</t>
  </si>
  <si>
    <t>POT ROOM</t>
  </si>
  <si>
    <t>032481</t>
  </si>
  <si>
    <t>ALU DIGN OPTR</t>
  </si>
  <si>
    <t>022403</t>
  </si>
  <si>
    <t>026052</t>
  </si>
  <si>
    <t>026633</t>
  </si>
  <si>
    <t>POTROOM</t>
  </si>
  <si>
    <t>027269</t>
  </si>
  <si>
    <t>028486</t>
  </si>
  <si>
    <t xml:space="preserve">POT ROOM </t>
  </si>
  <si>
    <t>024022</t>
  </si>
  <si>
    <t>ALU INS</t>
  </si>
  <si>
    <t>024448</t>
  </si>
  <si>
    <t>R/MILL OPTR</t>
  </si>
  <si>
    <t>029734</t>
  </si>
  <si>
    <t>026696</t>
  </si>
  <si>
    <t>031028</t>
  </si>
  <si>
    <t>DEPT</t>
  </si>
  <si>
    <t>HE / SUPPLY / OTH</t>
  </si>
  <si>
    <t>CAT</t>
  </si>
  <si>
    <t>#M / F</t>
  </si>
  <si>
    <t>HE/SUPPY/OTH</t>
  </si>
  <si>
    <t>HINDU / MUSLIM</t>
  </si>
  <si>
    <t>ROLL NO</t>
  </si>
  <si>
    <t>ADITYA BIRLA INTERMEDIATE COLLEGE RENUKOOT</t>
  </si>
  <si>
    <t>FEE AMNOUNT</t>
  </si>
  <si>
    <t>TIME OFFICE FEE DEDUCTION LIST FOR THE MONTHS OF APRIL-2026 TO SEP-2026                   CLASS - 12 B MATHS               DATE :- 04-09-2026</t>
  </si>
  <si>
    <t>चार्ट/डिस्प्ले</t>
  </si>
  <si>
    <t>विद्यार्थी</t>
  </si>
  <si>
    <t>1. कक्षा में क्या करें (Do's in the Classroom)</t>
  </si>
  <si>
    <t>ABHIMANYU YADAV, ABHISHEK GUPTA, ABHISHEK KUMAR, AJIT KUMAR</t>
  </si>
  <si>
    <t>2. कक्षा में क्या न करें (Don'ts in the Classroom)</t>
  </si>
  <si>
    <t>AKEEB AHMAD, ANKIT KUMAR SHARMA, ANMOL KUMAR, ANSHUL KUMAR</t>
  </si>
  <si>
    <t>3. सुरक्षा नियम</t>
  </si>
  <si>
    <t>ANURAG GUPTA, ASHUTOSH YADAV, AWDHESH KUMAR, AYUSH KUMAR</t>
  </si>
  <si>
    <t>4. यातायात नियम एवं सड़क सुरक्षा</t>
  </si>
  <si>
    <t>AYUSH KUMAR, CHANDAN KUMAR, DEEPAK YADAV</t>
  </si>
  <si>
    <t>5. पोषण एवं संतुलित आहार</t>
  </si>
  <si>
    <t>GIRDHAR GOPAL, KRISHNA KUMAR, KUNAL PRATAP SINGH</t>
  </si>
  <si>
    <t>6. साइबर सुरक्षा</t>
  </si>
  <si>
    <t>MO. HASIM, PUSHPRAJ SHARMA, RAHUL KUMAR SINGH</t>
  </si>
  <si>
    <t>7. करियर जागरूकता</t>
  </si>
  <si>
    <t>ROHIT, ROHIT YADAV, RUDRAKSH SINGH</t>
  </si>
  <si>
    <t>8. जन्मदिन कोना (Birthday Corner)</t>
  </si>
  <si>
    <t>SATISH KUMAR CHAURASIYA, SATYANAND YADAV, SHASHIKANT TRIPATHI</t>
  </si>
  <si>
    <t>9. आज का विचार (Thought of the Day)</t>
  </si>
  <si>
    <t>SHIV SAGAR YADAV, SHIVAM, SHIVAM CHAURASIA</t>
  </si>
  <si>
    <t>10. मूल्य चार्ट (Passion, Commitment, Integrity &amp; Seamlessness)</t>
  </si>
  <si>
    <t>SHIVAM MISHRA, SURAJ YADAV, VANSH MITTAL</t>
  </si>
  <si>
    <t>11. अंग्रेजी विषय चार्ट</t>
  </si>
  <si>
    <t>VISHAL SINGH, VISHNU KANT, VIVEK KUMAR SINGH</t>
  </si>
  <si>
    <t>12. हिन्दी विषय चार्ट</t>
  </si>
  <si>
    <t>AKRITI, ANANDI KUMARI SINGH, ANANYA YADAV</t>
  </si>
  <si>
    <t>13. गणित विषय चार्ट</t>
  </si>
  <si>
    <t>ANSHU SINGH, ANUSHKA YADAV, ASTHA SINGH</t>
  </si>
  <si>
    <t>14. विज्ञान विषय चार्ट</t>
  </si>
  <si>
    <t>CHANCHAL, ISHIKA KUMARI, JIVAN JYOTI KUMARI</t>
  </si>
  <si>
    <t>15. सामाजिक विज्ञान विषय चार्ट</t>
  </si>
  <si>
    <t>KHUSHI, KHUSHI SINGH, KUMKUM</t>
  </si>
  <si>
    <t>16. कंप्यूटर/एआई जागरूकता चार्ट</t>
  </si>
  <si>
    <t>MARIYAM NOOR, MIMANSHA, NISHA MISHRA</t>
  </si>
  <si>
    <t>17. पर्यावरण संरक्षण चार्ट</t>
  </si>
  <si>
    <t>PRITI KUMARI, PRIYA KUMARI, PURVI KUMARI</t>
  </si>
  <si>
    <t>18. प्रेरणादायी व्यक्तित्व चार्ट</t>
  </si>
  <si>
    <t>SANJANA KUMARI RAI, SHEESHAM KUMARI, SHRUTI PANDEY</t>
  </si>
  <si>
    <t>19. लक्ष्य निर्धारण कोना (Goal Setting Corner)</t>
  </si>
  <si>
    <t>SHWETA YADAV, SNEHLATA BHARATI, SUMAIYAH</t>
  </si>
  <si>
    <t>20. विद्यार्थी उपलब्धि कोना (Student Achievement Corner)</t>
  </si>
  <si>
    <t>SWATI YADAV, TAJMIN BANO, UMRA</t>
  </si>
  <si>
    <t>क्र.</t>
  </si>
  <si>
    <t>विद्यार्थियों के नाम</t>
  </si>
  <si>
    <t>कक्षा में क्या करें (Do's in the Classroom)</t>
  </si>
  <si>
    <t>कक्षा में क्या न करें (Don'ts in the Classroom)</t>
  </si>
  <si>
    <t>सुरक्षा नियम</t>
  </si>
  <si>
    <r>
      <t xml:space="preserve">AKEEB AHMAD, ANKIT KUMAR SHARMA, </t>
    </r>
    <r>
      <rPr>
        <b/>
        <sz val="11"/>
        <color theme="1"/>
        <rFont val="Calibri"/>
        <family val="2"/>
        <scheme val="minor"/>
      </rPr>
      <t>ANANYA YADAV</t>
    </r>
  </si>
  <si>
    <t>यातायात नियम एवं सड़क सुरक्षा</t>
  </si>
  <si>
    <r>
      <t xml:space="preserve">ANMOL KUMAR, ANSHUL KUMAR, </t>
    </r>
    <r>
      <rPr>
        <b/>
        <sz val="11"/>
        <color theme="1"/>
        <rFont val="Calibri"/>
        <family val="2"/>
        <scheme val="minor"/>
      </rPr>
      <t>ANSHU SINGH</t>
    </r>
  </si>
  <si>
    <t>पोषण एवं संतुलित आहार</t>
  </si>
  <si>
    <r>
      <t xml:space="preserve">ANURAG GUPTA, ASHUTOSH YADAV, </t>
    </r>
    <r>
      <rPr>
        <b/>
        <sz val="11"/>
        <color theme="1"/>
        <rFont val="Calibri"/>
        <family val="2"/>
        <scheme val="minor"/>
      </rPr>
      <t>ANUSHKA YADAV</t>
    </r>
  </si>
  <si>
    <t>साइबर सुरक्षा</t>
  </si>
  <si>
    <r>
      <t xml:space="preserve">AWDHESH KUMAR, AYUSH KUMAR, </t>
    </r>
    <r>
      <rPr>
        <b/>
        <sz val="11"/>
        <color theme="1"/>
        <rFont val="Calibri"/>
        <family val="2"/>
        <scheme val="minor"/>
      </rPr>
      <t>ASTHA SINGH</t>
    </r>
  </si>
  <si>
    <t>करियर जागरूकता</t>
  </si>
  <si>
    <r>
      <t xml:space="preserve">AYUSH KUMAR, CHANDAN KUMAR, </t>
    </r>
    <r>
      <rPr>
        <b/>
        <sz val="11"/>
        <color theme="1"/>
        <rFont val="Calibri"/>
        <family val="2"/>
        <scheme val="minor"/>
      </rPr>
      <t>CHANCHAL</t>
    </r>
  </si>
  <si>
    <t>जन्मदिन कोना (Birthday Corner)</t>
  </si>
  <si>
    <r>
      <t xml:space="preserve">DEEPAK YADAV, GIRDHAR GOPAL, </t>
    </r>
    <r>
      <rPr>
        <b/>
        <sz val="11"/>
        <color theme="1"/>
        <rFont val="Calibri"/>
        <family val="2"/>
        <scheme val="minor"/>
      </rPr>
      <t>ISHIKA KUMARI</t>
    </r>
  </si>
  <si>
    <t>आज का विचार (Thought of the Day)</t>
  </si>
  <si>
    <r>
      <t xml:space="preserve">KRISHNA KUMAR, KUNAL PRATAP SINGH, </t>
    </r>
    <r>
      <rPr>
        <b/>
        <sz val="11"/>
        <color theme="1"/>
        <rFont val="Calibri"/>
        <family val="2"/>
        <scheme val="minor"/>
      </rPr>
      <t>JIVAN JYOTI KUMARI</t>
    </r>
  </si>
  <si>
    <t>मूल्य चार्ट (Passion, Commitment, Integrity &amp; Seamlessness)</t>
  </si>
  <si>
    <r>
      <t xml:space="preserve">MO. HASIM, PUSHPRAJ SHARMA, </t>
    </r>
    <r>
      <rPr>
        <b/>
        <sz val="11"/>
        <color theme="1"/>
        <rFont val="Calibri"/>
        <family val="2"/>
        <scheme val="minor"/>
      </rPr>
      <t>KHUSHI</t>
    </r>
  </si>
  <si>
    <t>अंग्रेजी विषय चार्ट</t>
  </si>
  <si>
    <r>
      <t xml:space="preserve">RAHUL KUMAR SINGH, ROHIT, </t>
    </r>
    <r>
      <rPr>
        <b/>
        <sz val="11"/>
        <color theme="1"/>
        <rFont val="Calibri"/>
        <family val="2"/>
        <scheme val="minor"/>
      </rPr>
      <t>KHUSHI SINGH</t>
    </r>
  </si>
  <si>
    <t>हिन्दी विषय चार्ट</t>
  </si>
  <si>
    <r>
      <t xml:space="preserve">ROHIT YADAV, RUDRAKSH SINGH, </t>
    </r>
    <r>
      <rPr>
        <b/>
        <sz val="11"/>
        <color theme="1"/>
        <rFont val="Calibri"/>
        <family val="2"/>
        <scheme val="minor"/>
      </rPr>
      <t>KUMKUM</t>
    </r>
  </si>
  <si>
    <t>गणित विषय चार्ट</t>
  </si>
  <si>
    <r>
      <t xml:space="preserve">SATISH KUMAR CHAURASIYA, SATYANAND YADAV, </t>
    </r>
    <r>
      <rPr>
        <b/>
        <sz val="11"/>
        <color theme="1"/>
        <rFont val="Calibri"/>
        <family val="2"/>
        <scheme val="minor"/>
      </rPr>
      <t>MARIYAM NOOR</t>
    </r>
  </si>
  <si>
    <t>विज्ञान विषय चार्ट</t>
  </si>
  <si>
    <r>
      <t xml:space="preserve">SHASHIKANT TRIPATHI, SHIV SAGAR YADAV, </t>
    </r>
    <r>
      <rPr>
        <b/>
        <sz val="11"/>
        <color theme="1"/>
        <rFont val="Calibri"/>
        <family val="2"/>
        <scheme val="minor"/>
      </rPr>
      <t>MIMANSHA</t>
    </r>
  </si>
  <si>
    <t>सामाजिक विज्ञान विषय चार्ट</t>
  </si>
  <si>
    <r>
      <t xml:space="preserve">SHIVAM, SHIVAM CHAURASIA, </t>
    </r>
    <r>
      <rPr>
        <b/>
        <sz val="11"/>
        <color theme="1"/>
        <rFont val="Calibri"/>
        <family val="2"/>
        <scheme val="minor"/>
      </rPr>
      <t>NISHA MISHRA</t>
    </r>
  </si>
  <si>
    <t>कंप्यूटर/एआई जागरूकता चार्ट</t>
  </si>
  <si>
    <r>
      <t xml:space="preserve">SHIVAM MISHRA, SURAJ YADAV, </t>
    </r>
    <r>
      <rPr>
        <b/>
        <sz val="11"/>
        <color theme="1"/>
        <rFont val="Calibri"/>
        <family val="2"/>
        <scheme val="minor"/>
      </rPr>
      <t>PRITI KUMARI</t>
    </r>
  </si>
  <si>
    <t>पर्यावरण संरक्षण चार्ट</t>
  </si>
  <si>
    <r>
      <t xml:space="preserve">VANSH MITTAL, </t>
    </r>
    <r>
      <rPr>
        <b/>
        <sz val="11"/>
        <color theme="1"/>
        <rFont val="Calibri"/>
        <family val="2"/>
        <scheme val="minor"/>
      </rPr>
      <t>VISHAL SINGH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PRIYA KUMARI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PURVI KUMARI</t>
    </r>
  </si>
  <si>
    <t>प्रेरणादायी व्यक्तित्व चार्ट</t>
  </si>
  <si>
    <r>
      <t>VISHNU KANT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VIVEK KUMAR SINGH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SANJANA KUMARI RAI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SHEESHAM KUMARI</t>
    </r>
  </si>
  <si>
    <t>लक्ष्य निर्धारण कोना (Goal Setting Corner)</t>
  </si>
  <si>
    <r>
      <t>SHWETA YADAV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SNEHLATA BHARATI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SUMAIYAH</t>
    </r>
  </si>
  <si>
    <t>विद्यार्थी उपलब्धि कोना (Student Achievement Corner)</t>
  </si>
  <si>
    <r>
      <t>SWATI YADAV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TAJMIN BANO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UMRA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VISHAL SINGH</t>
    </r>
  </si>
  <si>
    <t>AKRITI, ANANDI KUMARI SINGH</t>
  </si>
  <si>
    <t>Sl. No.</t>
  </si>
  <si>
    <t>Admission No.</t>
  </si>
  <si>
    <t>Student Name</t>
  </si>
  <si>
    <t>Ward</t>
  </si>
  <si>
    <t>Employee</t>
  </si>
  <si>
    <t>Supply</t>
  </si>
  <si>
    <t xml:space="preserve">Employee /  Supply Ward Details </t>
  </si>
  <si>
    <t>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</si>
</sst>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\-0000\-0000"/>
    <numFmt numFmtId="165" formatCode="0;[Red]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"/>
      <name val="Calibri"/>
      <family val="2"/>
    </font>
    <font>
      <sz val="11"/>
      <color theme="1"/>
      <name val="Segoe UI Variable Text Semiligh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8">
    <xf numFmtId="0" fontId="0" fillId="0" borderId="0" xfId="0"/>
    <xf numFmtId="0" fontId="2" fillId="3" borderId="0" xfId="0" applyFont="1" applyFill="1" applyBorder="1"/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164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7" fillId="0" borderId="1" xfId="1" applyBorder="1"/>
    <xf numFmtId="164" fontId="3" fillId="0" borderId="1" xfId="0" quotePrefix="1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164" fontId="3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7" fillId="2" borderId="1" xfId="1" applyFill="1" applyBorder="1" applyAlignment="1">
      <alignment horizontal="left"/>
    </xf>
    <xf numFmtId="0" fontId="5" fillId="2" borderId="1" xfId="0" applyFont="1" applyFill="1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/>
    </xf>
    <xf numFmtId="0" fontId="7" fillId="0" borderId="1" xfId="1" applyBorder="1" applyAlignment="1">
      <alignment horizontal="left"/>
    </xf>
    <xf numFmtId="0" fontId="3" fillId="2" borderId="1" xfId="0" applyFont="1" applyFill="1" applyBorder="1"/>
    <xf numFmtId="0" fontId="4" fillId="0" borderId="1" xfId="0" applyFont="1" applyBorder="1" applyAlignment="1">
      <alignment horizontal="left"/>
    </xf>
    <xf numFmtId="165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14" fontId="12" fillId="0" borderId="1" xfId="0" applyNumberFormat="1" applyFont="1" applyBorder="1" applyAlignment="1">
      <alignment horizontal="left"/>
    </xf>
    <xf numFmtId="1" fontId="12" fillId="0" borderId="1" xfId="0" applyNumberFormat="1" applyFont="1" applyBorder="1" applyAlignment="1">
      <alignment horizontal="left"/>
    </xf>
    <xf numFmtId="0" fontId="12" fillId="0" borderId="1" xfId="0" applyFont="1" applyBorder="1"/>
    <xf numFmtId="0" fontId="9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15" fillId="0" borderId="2" xfId="0" applyFont="1" applyFill="1" applyBorder="1" applyAlignment="1">
      <alignment horizontal="left"/>
    </xf>
    <xf numFmtId="49" fontId="15" fillId="0" borderId="2" xfId="0" applyNumberFormat="1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49" fontId="3" fillId="0" borderId="2" xfId="0" applyNumberFormat="1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3" fillId="2" borderId="2" xfId="0" quotePrefix="1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49" fontId="15" fillId="0" borderId="3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3" fillId="0" borderId="3" xfId="0" applyNumberFormat="1" applyFont="1" applyBorder="1" applyAlignment="1">
      <alignment horizontal="left"/>
    </xf>
    <xf numFmtId="49" fontId="3" fillId="0" borderId="2" xfId="0" quotePrefix="1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/>
    <xf numFmtId="0" fontId="3" fillId="7" borderId="1" xfId="0" applyFont="1" applyFill="1" applyBorder="1" applyAlignment="1">
      <alignment horizontal="left"/>
    </xf>
    <xf numFmtId="49" fontId="15" fillId="2" borderId="2" xfId="0" applyNumberFormat="1" applyFont="1" applyFill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left"/>
    </xf>
    <xf numFmtId="49" fontId="15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0" fontId="20" fillId="3" borderId="0" xfId="0" applyFont="1" applyFill="1" applyBorder="1"/>
    <xf numFmtId="0" fontId="22" fillId="3" borderId="0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/>
    </xf>
    <xf numFmtId="49" fontId="19" fillId="2" borderId="1" xfId="0" quotePrefix="1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/>
    </xf>
    <xf numFmtId="49" fontId="19" fillId="0" borderId="1" xfId="0" quotePrefix="1" applyNumberFormat="1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23" fillId="2" borderId="2" xfId="0" applyFont="1" applyFill="1" applyBorder="1" applyAlignment="1">
      <alignment horizontal="left" vertical="center" wrapText="1"/>
    </xf>
    <xf numFmtId="0" fontId="24" fillId="3" borderId="0" xfId="0" applyFont="1" applyFill="1" applyBorder="1"/>
    <xf numFmtId="0" fontId="23" fillId="2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16" fontId="2" fillId="3" borderId="0" xfId="0" applyNumberFormat="1" applyFont="1" applyFill="1" applyBorder="1"/>
    <xf numFmtId="0" fontId="26" fillId="0" borderId="7" xfId="0" applyFont="1" applyBorder="1" applyAlignment="1">
      <alignment vertical="center" wrapText="1" readingOrder="1"/>
    </xf>
    <xf numFmtId="0" fontId="26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vertical="center" wrapText="1" readingOrder="1"/>
    </xf>
    <xf numFmtId="0" fontId="25" fillId="0" borderId="1" xfId="0" applyFont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KMIMANSHA6@GMAIL.COM" TargetMode="External"/><Relationship Id="rId18" Type="http://schemas.openxmlformats.org/officeDocument/2006/relationships/hyperlink" Target="mailto:purveekumari422@gmail.com" TargetMode="External"/><Relationship Id="rId26" Type="http://schemas.openxmlformats.org/officeDocument/2006/relationships/hyperlink" Target="mailto:mehtapappukumar7400@gmail.com" TargetMode="External"/><Relationship Id="rId39" Type="http://schemas.openxmlformats.org/officeDocument/2006/relationships/hyperlink" Target="mailto:vandanasingh8081961214@gmail.com" TargetMode="External"/><Relationship Id="rId21" Type="http://schemas.openxmlformats.org/officeDocument/2006/relationships/hyperlink" Target="mailto:shweta37113@gmail.com" TargetMode="External"/><Relationship Id="rId34" Type="http://schemas.openxmlformats.org/officeDocument/2006/relationships/hyperlink" Target="mailto:SY1721626@GMAIL.COM" TargetMode="External"/><Relationship Id="rId42" Type="http://schemas.openxmlformats.org/officeDocument/2006/relationships/hyperlink" Target="mailto:mariyamnoor2009@gmail.com" TargetMode="External"/><Relationship Id="rId47" Type="http://schemas.openxmlformats.org/officeDocument/2006/relationships/hyperlink" Target="mailto:dayadav4303@gmail.com" TargetMode="External"/><Relationship Id="rId50" Type="http://schemas.openxmlformats.org/officeDocument/2006/relationships/hyperlink" Target="mailto:abhishekgupta24371626@gmail.com" TargetMode="External"/><Relationship Id="rId55" Type="http://schemas.openxmlformats.org/officeDocument/2006/relationships/hyperlink" Target="mailto:S826088@GMAIL.COM" TargetMode="External"/><Relationship Id="rId7" Type="http://schemas.openxmlformats.org/officeDocument/2006/relationships/hyperlink" Target="mailto:JITENDRASINGH76108@GMAIL.COM" TargetMode="External"/><Relationship Id="rId12" Type="http://schemas.openxmlformats.org/officeDocument/2006/relationships/hyperlink" Target="mailto:PARDIPAPARJAPATI@GMAIL.COM" TargetMode="External"/><Relationship Id="rId17" Type="http://schemas.openxmlformats.org/officeDocument/2006/relationships/hyperlink" Target="mailto:priyaak32918@gmail.com" TargetMode="External"/><Relationship Id="rId25" Type="http://schemas.openxmlformats.org/officeDocument/2006/relationships/hyperlink" Target="mailto:kaynat26116@gmail.com" TargetMode="External"/><Relationship Id="rId33" Type="http://schemas.openxmlformats.org/officeDocument/2006/relationships/hyperlink" Target="mailto:kamleshkumartripathi31@gmail.com" TargetMode="External"/><Relationship Id="rId38" Type="http://schemas.openxmlformats.org/officeDocument/2006/relationships/hyperlink" Target="mailto:pooja277504@gmail.com" TargetMode="External"/><Relationship Id="rId46" Type="http://schemas.openxmlformats.org/officeDocument/2006/relationships/hyperlink" Target="mailto:sntoshchaurasiya8@gmail.com" TargetMode="External"/><Relationship Id="rId59" Type="http://schemas.openxmlformats.org/officeDocument/2006/relationships/printerSettings" Target="../printerSettings/printerSettings2.bin"/><Relationship Id="rId2" Type="http://schemas.openxmlformats.org/officeDocument/2006/relationships/hyperlink" Target="mailto:ravisingh82777@gmail.com" TargetMode="External"/><Relationship Id="rId16" Type="http://schemas.openxmlformats.org/officeDocument/2006/relationships/hyperlink" Target="mailto:savitamishrarkt@gmail.com" TargetMode="External"/><Relationship Id="rId20" Type="http://schemas.openxmlformats.org/officeDocument/2006/relationships/hyperlink" Target="mailto:TGEMAR368@GMAIL.COM" TargetMode="External"/><Relationship Id="rId29" Type="http://schemas.openxmlformats.org/officeDocument/2006/relationships/hyperlink" Target="mailto:banarasiprasad00@gmail.com" TargetMode="External"/><Relationship Id="rId41" Type="http://schemas.openxmlformats.org/officeDocument/2006/relationships/hyperlink" Target="mailto:badashkhan.rkt@gmail.com" TargetMode="External"/><Relationship Id="rId54" Type="http://schemas.openxmlformats.org/officeDocument/2006/relationships/hyperlink" Target="mailto:vishnu752398@gmail.com" TargetMode="External"/><Relationship Id="rId1" Type="http://schemas.openxmlformats.org/officeDocument/2006/relationships/hyperlink" Target="mailto:sonarkt1980@gmail.com" TargetMode="External"/><Relationship Id="rId6" Type="http://schemas.openxmlformats.org/officeDocument/2006/relationships/hyperlink" Target="mailto:skm498174@gmail.com" TargetMode="External"/><Relationship Id="rId11" Type="http://schemas.openxmlformats.org/officeDocument/2006/relationships/hyperlink" Target="mailto:AKRITISHISHTOLA2009@GMAIL.COM" TargetMode="External"/><Relationship Id="rId24" Type="http://schemas.openxmlformats.org/officeDocument/2006/relationships/hyperlink" Target="mailto:ahmadv3561@gmail.com" TargetMode="External"/><Relationship Id="rId32" Type="http://schemas.openxmlformats.org/officeDocument/2006/relationships/hyperlink" Target="mailto:mr.ry.rohit.yadav@gmail.com" TargetMode="External"/><Relationship Id="rId37" Type="http://schemas.openxmlformats.org/officeDocument/2006/relationships/hyperlink" Target="mailto:rajuagrawal37850@gmail.com" TargetMode="External"/><Relationship Id="rId40" Type="http://schemas.openxmlformats.org/officeDocument/2006/relationships/hyperlink" Target="mailto:a23303084@gmail.com" TargetMode="External"/><Relationship Id="rId45" Type="http://schemas.openxmlformats.org/officeDocument/2006/relationships/hyperlink" Target="mailto:sangitasangita77546@gmail.com" TargetMode="External"/><Relationship Id="rId53" Type="http://schemas.openxmlformats.org/officeDocument/2006/relationships/hyperlink" Target="mailto:anshulkum565@gmail.com" TargetMode="External"/><Relationship Id="rId58" Type="http://schemas.openxmlformats.org/officeDocument/2006/relationships/hyperlink" Target="mailto:YADAVKIRAN0435@GMAIL.COM" TargetMode="External"/><Relationship Id="rId5" Type="http://schemas.openxmlformats.org/officeDocument/2006/relationships/hyperlink" Target="mailto:satyanandyadav2010@gmail.com" TargetMode="External"/><Relationship Id="rId15" Type="http://schemas.openxmlformats.org/officeDocument/2006/relationships/hyperlink" Target="mailto:vijayray6070@gmail.com" TargetMode="External"/><Relationship Id="rId23" Type="http://schemas.openxmlformats.org/officeDocument/2006/relationships/hyperlink" Target="mailto:nirmala0101@gmail.com" TargetMode="External"/><Relationship Id="rId28" Type="http://schemas.openxmlformats.org/officeDocument/2006/relationships/hyperlink" Target="mailto:ankit09rkt@gmail.com" TargetMode="External"/><Relationship Id="rId36" Type="http://schemas.openxmlformats.org/officeDocument/2006/relationships/hyperlink" Target="mailto:umeshyadav5277@gmail.com" TargetMode="External"/><Relationship Id="rId49" Type="http://schemas.openxmlformats.org/officeDocument/2006/relationships/hyperlink" Target="mailto:abhishekkumar8989@gmail.com" TargetMode="External"/><Relationship Id="rId57" Type="http://schemas.openxmlformats.org/officeDocument/2006/relationships/hyperlink" Target="mailto:GIRIDHARGOPAL7054@GMAIL.COM" TargetMode="External"/><Relationship Id="rId10" Type="http://schemas.openxmlformats.org/officeDocument/2006/relationships/hyperlink" Target="mailto:KHUSHISINGH37110@GMAIL.COM" TargetMode="External"/><Relationship Id="rId19" Type="http://schemas.openxmlformats.org/officeDocument/2006/relationships/hyperlink" Target="mailto:sraa90322@gmail.com" TargetMode="External"/><Relationship Id="rId31" Type="http://schemas.openxmlformats.org/officeDocument/2006/relationships/hyperlink" Target="mailto:rajeshkumarsingh141983@gmail.com" TargetMode="External"/><Relationship Id="rId44" Type="http://schemas.openxmlformats.org/officeDocument/2006/relationships/hyperlink" Target="mailto:vkmaurya1985up@gmail.com" TargetMode="External"/><Relationship Id="rId52" Type="http://schemas.openxmlformats.org/officeDocument/2006/relationships/hyperlink" Target="mailto:spandey49567@gmail.com" TargetMode="External"/><Relationship Id="rId4" Type="http://schemas.openxmlformats.org/officeDocument/2006/relationships/hyperlink" Target="mailto:singhshivvijay75@gmail.com" TargetMode="External"/><Relationship Id="rId9" Type="http://schemas.openxmlformats.org/officeDocument/2006/relationships/hyperlink" Target="mailto:JIVANJYOTIK0@GMAIL.COM" TargetMode="External"/><Relationship Id="rId14" Type="http://schemas.openxmlformats.org/officeDocument/2006/relationships/hyperlink" Target="mailto:ishikakumari2108@gmail.com" TargetMode="External"/><Relationship Id="rId22" Type="http://schemas.openxmlformats.org/officeDocument/2006/relationships/hyperlink" Target="mailto:abdullahhabib231217@gmail.com" TargetMode="External"/><Relationship Id="rId27" Type="http://schemas.openxmlformats.org/officeDocument/2006/relationships/hyperlink" Target="mailto:deepakwatola2009@gmail.com" TargetMode="External"/><Relationship Id="rId30" Type="http://schemas.openxmlformats.org/officeDocument/2006/relationships/hyperlink" Target="mailto:sharmapuspraj221@gmail.com" TargetMode="External"/><Relationship Id="rId35" Type="http://schemas.openxmlformats.org/officeDocument/2006/relationships/hyperlink" Target="mailto:shubhashcharkt@gmail.com" TargetMode="External"/><Relationship Id="rId43" Type="http://schemas.openxmlformats.org/officeDocument/2006/relationships/hyperlink" Target="mailto:latarkt231217@gmail.com" TargetMode="External"/><Relationship Id="rId48" Type="http://schemas.openxmlformats.org/officeDocument/2006/relationships/hyperlink" Target="mailto:sudeshwar.prasad@gmail.com" TargetMode="External"/><Relationship Id="rId56" Type="http://schemas.openxmlformats.org/officeDocument/2006/relationships/hyperlink" Target="mailto:MY2766926@GMAIL.COM" TargetMode="External"/><Relationship Id="rId8" Type="http://schemas.openxmlformats.org/officeDocument/2006/relationships/hyperlink" Target="mailto:JAMVANTSINGHYADAV7889@GMAIL.COM" TargetMode="External"/><Relationship Id="rId51" Type="http://schemas.openxmlformats.org/officeDocument/2006/relationships/hyperlink" Target="mailto:ROHITKUMARRKT7347@GMAIL.COM" TargetMode="External"/><Relationship Id="rId3" Type="http://schemas.openxmlformats.org/officeDocument/2006/relationships/hyperlink" Target="mailto:KHANHASHIM9345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view="pageBreakPreview" zoomScaleNormal="100" zoomScaleSheetLayoutView="100" workbookViewId="0">
      <selection activeCell="B4" sqref="B4"/>
    </sheetView>
  </sheetViews>
  <sheetFormatPr defaultColWidth="9.1796875" defaultRowHeight="14.5" x14ac:dyDescent="0.35"/>
  <cols>
    <col min="1" max="1" width="8.1796875" customWidth="1"/>
    <col min="2" max="2" width="11.453125" customWidth="1"/>
    <col min="3" max="3" width="10.1796875" bestFit="1" customWidth="1"/>
    <col min="4" max="4" width="22.26953125" bestFit="1" customWidth="1"/>
    <col min="5" max="5" width="40.7265625" customWidth="1"/>
    <col min="6" max="6" width="12" bestFit="1" customWidth="1"/>
    <col min="7" max="7" width="16" bestFit="1" customWidth="1"/>
    <col min="8" max="8" width="14.1796875" style="1" bestFit="1" customWidth="1"/>
    <col min="9" max="16384" width="9.1796875" style="1"/>
  </cols>
  <sheetData>
    <row r="1" spans="1:8" s="98" customFormat="1" ht="21" x14ac:dyDescent="0.5">
      <c r="A1" s="124" t="s">
        <v>632</v>
      </c>
      <c r="B1" s="124"/>
      <c r="C1" s="124"/>
      <c r="D1" s="124"/>
      <c r="E1" s="124"/>
      <c r="F1" s="124"/>
      <c r="G1" s="124"/>
      <c r="H1" s="124"/>
    </row>
    <row r="2" spans="1:8" s="97" customFormat="1" ht="15.5" x14ac:dyDescent="0.35">
      <c r="A2" s="107" t="s">
        <v>634</v>
      </c>
      <c r="B2" s="108"/>
      <c r="C2" s="108"/>
      <c r="D2" s="108"/>
      <c r="E2" s="108"/>
      <c r="F2" s="108"/>
      <c r="G2" s="108"/>
      <c r="H2" s="109"/>
    </row>
    <row r="3" spans="1:8" x14ac:dyDescent="0.35">
      <c r="A3" s="99" t="s">
        <v>0</v>
      </c>
      <c r="B3" s="99" t="s">
        <v>631</v>
      </c>
      <c r="C3" s="99" t="s">
        <v>1</v>
      </c>
      <c r="D3" s="99" t="s">
        <v>9</v>
      </c>
      <c r="E3" s="99" t="s">
        <v>11</v>
      </c>
      <c r="F3" s="99" t="s">
        <v>599</v>
      </c>
      <c r="G3" s="99" t="s">
        <v>600</v>
      </c>
      <c r="H3" s="105" t="s">
        <v>633</v>
      </c>
    </row>
    <row r="4" spans="1:8" ht="40.5" customHeight="1" x14ac:dyDescent="0.35">
      <c r="A4" s="91">
        <v>1</v>
      </c>
      <c r="B4" s="91">
        <v>5</v>
      </c>
      <c r="C4" s="92">
        <v>37239</v>
      </c>
      <c r="D4" s="94" t="s">
        <v>54</v>
      </c>
      <c r="E4" s="95" t="s">
        <v>56</v>
      </c>
      <c r="F4" s="100" t="s">
        <v>603</v>
      </c>
      <c r="G4" s="95" t="s">
        <v>604</v>
      </c>
      <c r="H4" s="106">
        <v>4435</v>
      </c>
    </row>
    <row r="5" spans="1:8" ht="40.5" customHeight="1" x14ac:dyDescent="0.35">
      <c r="A5" s="91">
        <v>2</v>
      </c>
      <c r="B5" s="91">
        <v>10</v>
      </c>
      <c r="C5" s="92">
        <v>39076</v>
      </c>
      <c r="D5" s="94" t="s">
        <v>350</v>
      </c>
      <c r="E5" s="95" t="s">
        <v>352</v>
      </c>
      <c r="F5" s="100" t="s">
        <v>607</v>
      </c>
      <c r="G5" s="95" t="s">
        <v>608</v>
      </c>
      <c r="H5" s="106">
        <v>4435</v>
      </c>
    </row>
    <row r="6" spans="1:8" ht="40.5" customHeight="1" x14ac:dyDescent="0.35">
      <c r="A6" s="91">
        <v>3</v>
      </c>
      <c r="B6" s="91">
        <v>20</v>
      </c>
      <c r="C6" s="92">
        <v>37253</v>
      </c>
      <c r="D6" s="94" t="s">
        <v>183</v>
      </c>
      <c r="E6" s="95" t="s">
        <v>185</v>
      </c>
      <c r="F6" s="100" t="s">
        <v>609</v>
      </c>
      <c r="G6" s="95" t="s">
        <v>610</v>
      </c>
      <c r="H6" s="106">
        <v>4435</v>
      </c>
    </row>
    <row r="7" spans="1:8" ht="40.5" customHeight="1" x14ac:dyDescent="0.35">
      <c r="A7" s="91">
        <v>4</v>
      </c>
      <c r="B7" s="91">
        <v>27</v>
      </c>
      <c r="C7" s="92">
        <v>39007</v>
      </c>
      <c r="D7" s="96" t="s">
        <v>238</v>
      </c>
      <c r="E7" s="96" t="s">
        <v>240</v>
      </c>
      <c r="F7" s="101" t="s">
        <v>611</v>
      </c>
      <c r="G7" s="96" t="s">
        <v>608</v>
      </c>
      <c r="H7" s="106">
        <v>4435</v>
      </c>
    </row>
    <row r="8" spans="1:8" ht="40.5" customHeight="1" x14ac:dyDescent="0.35">
      <c r="A8" s="91">
        <v>5</v>
      </c>
      <c r="B8" s="91">
        <v>30</v>
      </c>
      <c r="C8" s="92">
        <v>37181</v>
      </c>
      <c r="D8" s="96" t="s">
        <v>262</v>
      </c>
      <c r="E8" s="96" t="s">
        <v>264</v>
      </c>
      <c r="F8" s="102" t="s">
        <v>612</v>
      </c>
      <c r="G8" s="96" t="s">
        <v>608</v>
      </c>
      <c r="H8" s="106">
        <v>4435</v>
      </c>
    </row>
    <row r="9" spans="1:8" ht="40.5" customHeight="1" x14ac:dyDescent="0.35">
      <c r="A9" s="91">
        <v>6</v>
      </c>
      <c r="B9" s="91">
        <v>39</v>
      </c>
      <c r="C9" s="93" t="s">
        <v>571</v>
      </c>
      <c r="D9" s="94" t="s">
        <v>572</v>
      </c>
      <c r="E9" s="95" t="s">
        <v>574</v>
      </c>
      <c r="F9" s="100" t="s">
        <v>613</v>
      </c>
      <c r="G9" s="95" t="s">
        <v>614</v>
      </c>
      <c r="H9" s="106">
        <v>4435</v>
      </c>
    </row>
    <row r="10" spans="1:8" ht="40.5" customHeight="1" x14ac:dyDescent="0.35">
      <c r="A10" s="91">
        <v>7</v>
      </c>
      <c r="B10" s="91">
        <v>40</v>
      </c>
      <c r="C10" s="92" t="s">
        <v>380</v>
      </c>
      <c r="D10" s="94" t="s">
        <v>381</v>
      </c>
      <c r="E10" s="95" t="s">
        <v>383</v>
      </c>
      <c r="F10" s="103" t="s">
        <v>615</v>
      </c>
      <c r="G10" s="95" t="s">
        <v>614</v>
      </c>
      <c r="H10" s="106">
        <v>4435</v>
      </c>
    </row>
    <row r="11" spans="1:8" ht="40.5" customHeight="1" x14ac:dyDescent="0.35">
      <c r="A11" s="91">
        <v>8</v>
      </c>
      <c r="B11" s="91">
        <v>41</v>
      </c>
      <c r="C11" s="92">
        <v>38990</v>
      </c>
      <c r="D11" s="94" t="s">
        <v>390</v>
      </c>
      <c r="E11" s="95" t="s">
        <v>392</v>
      </c>
      <c r="F11" s="100" t="s">
        <v>616</v>
      </c>
      <c r="G11" s="95" t="s">
        <v>617</v>
      </c>
      <c r="H11" s="106">
        <v>4435</v>
      </c>
    </row>
    <row r="12" spans="1:8" ht="40.5" customHeight="1" x14ac:dyDescent="0.35">
      <c r="A12" s="91">
        <v>9</v>
      </c>
      <c r="B12" s="91">
        <v>48</v>
      </c>
      <c r="C12" s="92">
        <v>38999</v>
      </c>
      <c r="D12" s="94" t="s">
        <v>461</v>
      </c>
      <c r="E12" s="95" t="s">
        <v>463</v>
      </c>
      <c r="F12" s="100" t="s">
        <v>618</v>
      </c>
      <c r="G12" s="95" t="s">
        <v>619</v>
      </c>
      <c r="H12" s="106">
        <v>4435</v>
      </c>
    </row>
    <row r="13" spans="1:8" ht="40.5" customHeight="1" x14ac:dyDescent="0.35">
      <c r="A13" s="91">
        <v>10</v>
      </c>
      <c r="B13" s="91">
        <v>50</v>
      </c>
      <c r="C13" s="92">
        <v>37069</v>
      </c>
      <c r="D13" s="94" t="s">
        <v>597</v>
      </c>
      <c r="E13" s="95" t="s">
        <v>454</v>
      </c>
      <c r="F13" s="104" t="s">
        <v>620</v>
      </c>
      <c r="G13" s="95" t="s">
        <v>621</v>
      </c>
      <c r="H13" s="106">
        <v>4435</v>
      </c>
    </row>
    <row r="14" spans="1:8" ht="40.5" customHeight="1" x14ac:dyDescent="0.35">
      <c r="A14" s="91">
        <v>11</v>
      </c>
      <c r="B14" s="91">
        <v>51</v>
      </c>
      <c r="C14" s="92">
        <v>37068</v>
      </c>
      <c r="D14" s="94" t="s">
        <v>480</v>
      </c>
      <c r="E14" s="95" t="s">
        <v>482</v>
      </c>
      <c r="F14" s="100" t="s">
        <v>622</v>
      </c>
      <c r="G14" s="95" t="s">
        <v>608</v>
      </c>
      <c r="H14" s="106">
        <v>4435</v>
      </c>
    </row>
    <row r="15" spans="1:8" ht="40.5" customHeight="1" x14ac:dyDescent="0.35">
      <c r="A15" s="91">
        <v>12</v>
      </c>
      <c r="B15" s="91">
        <v>55</v>
      </c>
      <c r="C15" s="92">
        <v>37143</v>
      </c>
      <c r="D15" s="94" t="s">
        <v>504</v>
      </c>
      <c r="E15" s="95" t="s">
        <v>506</v>
      </c>
      <c r="F15" s="100" t="s">
        <v>623</v>
      </c>
      <c r="G15" s="95" t="s">
        <v>614</v>
      </c>
      <c r="H15" s="106">
        <v>4435</v>
      </c>
    </row>
    <row r="16" spans="1:8" ht="40.5" customHeight="1" x14ac:dyDescent="0.35">
      <c r="A16" s="91">
        <v>13</v>
      </c>
      <c r="B16" s="91">
        <v>57</v>
      </c>
      <c r="C16" s="93">
        <v>37124</v>
      </c>
      <c r="D16" s="94" t="s">
        <v>540</v>
      </c>
      <c r="E16" s="95" t="s">
        <v>542</v>
      </c>
      <c r="F16" s="100" t="s">
        <v>624</v>
      </c>
      <c r="G16" s="95" t="s">
        <v>614</v>
      </c>
      <c r="H16" s="106">
        <v>4435</v>
      </c>
    </row>
    <row r="17" spans="6:7" x14ac:dyDescent="0.35">
      <c r="F17" s="45"/>
      <c r="G17" s="45"/>
    </row>
    <row r="18" spans="6:7" x14ac:dyDescent="0.35">
      <c r="F18" s="45"/>
      <c r="G18" s="45"/>
    </row>
    <row r="19" spans="6:7" x14ac:dyDescent="0.35">
      <c r="F19" s="45"/>
      <c r="G19" s="45"/>
    </row>
    <row r="20" spans="6:7" x14ac:dyDescent="0.35">
      <c r="F20" s="45"/>
      <c r="G20" s="45"/>
    </row>
  </sheetData>
  <autoFilter ref="A3:G16"/>
  <dataConsolidate/>
  <mergeCells count="1">
    <mergeCell ref="A1:H1"/>
  </mergeCells>
  <pageMargins left="0.25" right="0.25" top="0.75" bottom="0.75" header="0.3" footer="0.3"/>
  <pageSetup paperSize="9" scale="65" pageOrder="overThenDown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9"/>
  <sheetViews>
    <sheetView tabSelected="1" view="pageBreakPreview" topLeftCell="A3" zoomScaleNormal="115" zoomScaleSheetLayoutView="100" workbookViewId="0">
      <selection activeCell="B3" sqref="B3"/>
    </sheetView>
  </sheetViews>
  <sheetFormatPr defaultColWidth="9.1796875" defaultRowHeight="14.5" x14ac:dyDescent="0.35"/>
  <cols>
    <col min="1" max="1" width="4.1796875" customWidth="1"/>
    <col min="2" max="2" width="5.453125" customWidth="1"/>
    <col min="3" max="3" width="7" customWidth="1"/>
    <col min="4" max="4" width="12" customWidth="1"/>
    <col min="5" max="5" width="13.453125" customWidth="1"/>
    <col min="6" max="6" width="15.54296875" customWidth="1"/>
    <col min="7" max="7" width="11.81640625" customWidth="1"/>
    <col min="8" max="10" width="5.26953125" customWidth="1"/>
    <col min="11" max="11" width="22.26953125" bestFit="1" customWidth="1"/>
    <col min="12" max="12" width="22" customWidth="1"/>
    <col min="13" max="13" width="31.26953125" customWidth="1"/>
    <col min="14" max="15" width="22.26953125" customWidth="1"/>
    <col min="16" max="16" width="18.7265625" customWidth="1"/>
    <col min="17" max="17" width="4.26953125" customWidth="1"/>
    <col min="18" max="18" width="4" customWidth="1"/>
    <col min="19" max="19" width="11.1796875" customWidth="1"/>
    <col min="20" max="20" width="5.81640625" customWidth="1"/>
    <col min="21" max="21" width="5.54296875" customWidth="1"/>
    <col min="22" max="22" width="4.81640625" customWidth="1"/>
    <col min="23" max="23" width="6.54296875" customWidth="1"/>
    <col min="24" max="24" width="37.453125" customWidth="1"/>
    <col min="25" max="25" width="12" customWidth="1"/>
    <col min="26" max="26" width="39.26953125" customWidth="1"/>
    <col min="27" max="27" width="10.26953125" customWidth="1"/>
    <col min="28" max="28" width="9.1796875" customWidth="1"/>
    <col min="29" max="29" width="15" customWidth="1"/>
    <col min="30" max="30" width="11.54296875" style="1" customWidth="1"/>
    <col min="31" max="16384" width="9.1796875" style="1"/>
  </cols>
  <sheetData>
    <row r="1" spans="1:32" s="111" customFormat="1" ht="52.5" x14ac:dyDescent="0.25">
      <c r="A1" s="112" t="s">
        <v>593</v>
      </c>
      <c r="B1" s="112" t="s">
        <v>588</v>
      </c>
      <c r="C1" s="112" t="s">
        <v>1</v>
      </c>
      <c r="D1" s="112" t="s">
        <v>2</v>
      </c>
      <c r="E1" s="112" t="s">
        <v>3</v>
      </c>
      <c r="F1" s="112" t="s">
        <v>4</v>
      </c>
      <c r="G1" s="112" t="s">
        <v>5</v>
      </c>
      <c r="H1" s="112" t="s">
        <v>6</v>
      </c>
      <c r="I1" s="112" t="s">
        <v>7</v>
      </c>
      <c r="J1" s="112" t="s">
        <v>8</v>
      </c>
      <c r="K1" s="112" t="s">
        <v>9</v>
      </c>
      <c r="L1" s="112" t="s">
        <v>10</v>
      </c>
      <c r="M1" s="112" t="s">
        <v>11</v>
      </c>
      <c r="N1" s="112" t="s">
        <v>12</v>
      </c>
      <c r="O1" s="112" t="s">
        <v>13</v>
      </c>
      <c r="P1" s="112" t="s">
        <v>14</v>
      </c>
      <c r="Q1" s="112" t="s">
        <v>15</v>
      </c>
      <c r="R1" s="112"/>
      <c r="S1" s="112" t="s">
        <v>16</v>
      </c>
      <c r="T1" s="112" t="s">
        <v>17</v>
      </c>
      <c r="U1" s="112"/>
      <c r="V1" s="112" t="s">
        <v>18</v>
      </c>
      <c r="W1" s="112"/>
      <c r="X1" s="112" t="s">
        <v>19</v>
      </c>
      <c r="Y1" s="112" t="s">
        <v>20</v>
      </c>
      <c r="Z1" s="112" t="s">
        <v>21</v>
      </c>
      <c r="AA1" s="110" t="s">
        <v>598</v>
      </c>
      <c r="AB1" s="110" t="s">
        <v>599</v>
      </c>
      <c r="AC1" s="110" t="s">
        <v>600</v>
      </c>
    </row>
    <row r="2" spans="1:32" x14ac:dyDescent="0.35">
      <c r="A2" s="2">
        <v>1</v>
      </c>
      <c r="B2" s="2" t="s">
        <v>725</v>
      </c>
      <c r="C2" s="3">
        <v>38954</v>
      </c>
      <c r="D2" s="3">
        <v>1252255509</v>
      </c>
      <c r="E2" s="2">
        <v>21135989316</v>
      </c>
      <c r="F2" s="4">
        <v>270538963986</v>
      </c>
      <c r="G2" s="5">
        <v>39771</v>
      </c>
      <c r="H2" s="6" t="s">
        <v>22</v>
      </c>
      <c r="I2" s="6" t="s">
        <v>23</v>
      </c>
      <c r="J2" s="6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30</v>
      </c>
      <c r="Q2" s="8" t="s">
        <v>31</v>
      </c>
      <c r="R2" s="8">
        <v>1</v>
      </c>
      <c r="S2" s="9" t="s">
        <v>32</v>
      </c>
      <c r="T2" s="9" t="s">
        <v>33</v>
      </c>
      <c r="U2" s="3">
        <v>3</v>
      </c>
      <c r="V2" s="3" t="s">
        <v>34</v>
      </c>
      <c r="W2" s="3">
        <v>0</v>
      </c>
      <c r="X2" s="7" t="s">
        <v>35</v>
      </c>
      <c r="Y2" s="8">
        <v>9598799195</v>
      </c>
      <c r="Z2" s="10" t="s">
        <v>36</v>
      </c>
      <c r="AA2" s="56" t="s">
        <v>601</v>
      </c>
      <c r="AB2" s="57"/>
      <c r="AC2" s="57"/>
      <c r="AF2" s="119"/>
    </row>
    <row r="3" spans="1:32" x14ac:dyDescent="0.35">
      <c r="A3" s="2">
        <v>2</v>
      </c>
      <c r="B3" s="2" t="s">
        <v>725</v>
      </c>
      <c r="C3" s="3">
        <v>40126</v>
      </c>
      <c r="D3" s="3">
        <v>1252263773</v>
      </c>
      <c r="E3" s="2">
        <v>22837855275</v>
      </c>
      <c r="F3" s="4" t="s">
        <v>341</v>
      </c>
      <c r="G3" s="5">
        <v>40121</v>
      </c>
      <c r="H3" s="6">
        <v>4</v>
      </c>
      <c r="I3" s="6">
        <v>11</v>
      </c>
      <c r="J3" s="6" t="s">
        <v>40</v>
      </c>
      <c r="K3" s="7" t="s">
        <v>342</v>
      </c>
      <c r="L3" s="7" t="s">
        <v>343</v>
      </c>
      <c r="M3" s="7" t="s">
        <v>344</v>
      </c>
      <c r="N3" s="7" t="s">
        <v>345</v>
      </c>
      <c r="O3" s="7" t="s">
        <v>346</v>
      </c>
      <c r="P3" s="7" t="s">
        <v>347</v>
      </c>
      <c r="Q3" s="8" t="s">
        <v>31</v>
      </c>
      <c r="R3" s="8">
        <v>1</v>
      </c>
      <c r="S3" s="9" t="s">
        <v>323</v>
      </c>
      <c r="T3" s="9" t="s">
        <v>33</v>
      </c>
      <c r="U3" s="3">
        <v>3</v>
      </c>
      <c r="V3" s="3" t="s">
        <v>34</v>
      </c>
      <c r="W3" s="3">
        <v>0</v>
      </c>
      <c r="X3" s="7" t="s">
        <v>324</v>
      </c>
      <c r="Y3" s="8">
        <v>8756958156</v>
      </c>
      <c r="Z3" s="10" t="s">
        <v>348</v>
      </c>
      <c r="AA3" s="58" t="s">
        <v>601</v>
      </c>
      <c r="AB3" s="59"/>
      <c r="AC3" s="60"/>
      <c r="AF3" s="119"/>
    </row>
    <row r="4" spans="1:32" x14ac:dyDescent="0.35">
      <c r="A4" s="2">
        <v>3</v>
      </c>
      <c r="B4" s="2" t="s">
        <v>725</v>
      </c>
      <c r="C4" s="3">
        <v>40127</v>
      </c>
      <c r="D4" s="3">
        <v>1252263775</v>
      </c>
      <c r="E4" s="2">
        <v>22694052014</v>
      </c>
      <c r="F4" s="4" t="s">
        <v>336</v>
      </c>
      <c r="G4" s="5">
        <v>39814</v>
      </c>
      <c r="H4" s="6" t="s">
        <v>74</v>
      </c>
      <c r="I4" s="6" t="s">
        <v>74</v>
      </c>
      <c r="J4" s="6" t="s">
        <v>40</v>
      </c>
      <c r="K4" s="7" t="s">
        <v>337</v>
      </c>
      <c r="L4" s="7" t="s">
        <v>338</v>
      </c>
      <c r="M4" s="7" t="s">
        <v>142</v>
      </c>
      <c r="N4" s="7" t="s">
        <v>143</v>
      </c>
      <c r="O4" s="7" t="s">
        <v>339</v>
      </c>
      <c r="P4" s="7" t="s">
        <v>316</v>
      </c>
      <c r="Q4" s="8" t="s">
        <v>31</v>
      </c>
      <c r="R4" s="8">
        <v>1</v>
      </c>
      <c r="S4" s="9" t="s">
        <v>323</v>
      </c>
      <c r="T4" s="9" t="s">
        <v>33</v>
      </c>
      <c r="U4" s="3">
        <v>3</v>
      </c>
      <c r="V4" s="3" t="s">
        <v>34</v>
      </c>
      <c r="W4" s="3">
        <v>0</v>
      </c>
      <c r="X4" s="7" t="s">
        <v>324</v>
      </c>
      <c r="Y4" s="8">
        <v>9198889355</v>
      </c>
      <c r="Z4" s="10" t="s">
        <v>340</v>
      </c>
      <c r="AA4" s="58" t="s">
        <v>601</v>
      </c>
      <c r="AB4" s="59"/>
      <c r="AC4" s="60"/>
      <c r="AF4" s="119"/>
    </row>
    <row r="5" spans="1:32" x14ac:dyDescent="0.35">
      <c r="A5" s="2">
        <v>4</v>
      </c>
      <c r="B5" s="2" t="s">
        <v>725</v>
      </c>
      <c r="C5" s="3">
        <v>37212</v>
      </c>
      <c r="D5" s="3">
        <v>1252255528</v>
      </c>
      <c r="E5" s="2">
        <v>21308620363</v>
      </c>
      <c r="F5" s="11" t="s">
        <v>37</v>
      </c>
      <c r="G5" s="5">
        <v>39868</v>
      </c>
      <c r="H5" s="6" t="s">
        <v>38</v>
      </c>
      <c r="I5" s="6" t="s">
        <v>39</v>
      </c>
      <c r="J5" s="6" t="s">
        <v>40</v>
      </c>
      <c r="K5" s="7" t="s">
        <v>41</v>
      </c>
      <c r="L5" s="7" t="s">
        <v>42</v>
      </c>
      <c r="M5" s="7" t="s">
        <v>43</v>
      </c>
      <c r="N5" s="7" t="s">
        <v>44</v>
      </c>
      <c r="O5" s="7" t="s">
        <v>45</v>
      </c>
      <c r="P5" s="9" t="s">
        <v>46</v>
      </c>
      <c r="Q5" s="8" t="s">
        <v>31</v>
      </c>
      <c r="R5" s="8">
        <v>1</v>
      </c>
      <c r="S5" s="9" t="s">
        <v>47</v>
      </c>
      <c r="T5" s="9" t="s">
        <v>48</v>
      </c>
      <c r="U5" s="3">
        <v>1</v>
      </c>
      <c r="V5" s="3" t="s">
        <v>34</v>
      </c>
      <c r="W5" s="3">
        <v>0</v>
      </c>
      <c r="X5" s="7" t="s">
        <v>49</v>
      </c>
      <c r="Y5" s="8">
        <v>9140875958</v>
      </c>
      <c r="Z5" s="7" t="s">
        <v>50</v>
      </c>
      <c r="AA5" s="56" t="s">
        <v>601</v>
      </c>
      <c r="AB5" s="61"/>
      <c r="AC5" s="56"/>
      <c r="AF5" s="119"/>
    </row>
    <row r="6" spans="1:32" x14ac:dyDescent="0.35">
      <c r="A6" s="2">
        <v>5</v>
      </c>
      <c r="B6" s="2" t="s">
        <v>725</v>
      </c>
      <c r="C6" s="3">
        <v>37239</v>
      </c>
      <c r="D6" s="3">
        <v>1252255535</v>
      </c>
      <c r="E6" s="2">
        <v>21326918699</v>
      </c>
      <c r="F6" s="11" t="s">
        <v>51</v>
      </c>
      <c r="G6" s="5">
        <v>39939</v>
      </c>
      <c r="H6" s="6" t="s">
        <v>52</v>
      </c>
      <c r="I6" s="6" t="s">
        <v>53</v>
      </c>
      <c r="J6" s="6" t="s">
        <v>40</v>
      </c>
      <c r="K6" s="12" t="s">
        <v>54</v>
      </c>
      <c r="L6" s="7" t="s">
        <v>55</v>
      </c>
      <c r="M6" s="7" t="s">
        <v>56</v>
      </c>
      <c r="N6" s="7" t="s">
        <v>57</v>
      </c>
      <c r="O6" s="7" t="s">
        <v>58</v>
      </c>
      <c r="P6" s="9" t="s">
        <v>59</v>
      </c>
      <c r="Q6" s="8" t="s">
        <v>31</v>
      </c>
      <c r="R6" s="8">
        <v>1</v>
      </c>
      <c r="S6" s="9" t="s">
        <v>60</v>
      </c>
      <c r="T6" s="9" t="s">
        <v>61</v>
      </c>
      <c r="U6" s="3">
        <v>4</v>
      </c>
      <c r="V6" s="3" t="s">
        <v>31</v>
      </c>
      <c r="W6" s="3">
        <v>1</v>
      </c>
      <c r="X6" s="7" t="s">
        <v>62</v>
      </c>
      <c r="Y6" s="8">
        <v>7985412595</v>
      </c>
      <c r="Z6" s="7" t="s">
        <v>63</v>
      </c>
      <c r="AA6" s="56" t="s">
        <v>602</v>
      </c>
      <c r="AB6" s="62" t="s">
        <v>603</v>
      </c>
      <c r="AC6" s="56" t="s">
        <v>604</v>
      </c>
    </row>
    <row r="7" spans="1:32" x14ac:dyDescent="0.35">
      <c r="A7" s="2">
        <v>6</v>
      </c>
      <c r="B7" s="2" t="s">
        <v>725</v>
      </c>
      <c r="C7" s="3">
        <v>39030</v>
      </c>
      <c r="D7" s="3">
        <v>1252255545</v>
      </c>
      <c r="E7" s="2">
        <v>21092525382</v>
      </c>
      <c r="F7" s="11">
        <v>389857903391</v>
      </c>
      <c r="G7" s="5">
        <v>39950</v>
      </c>
      <c r="H7" s="6" t="s">
        <v>64</v>
      </c>
      <c r="I7" s="6" t="s">
        <v>53</v>
      </c>
      <c r="J7" s="6" t="s">
        <v>40</v>
      </c>
      <c r="K7" s="9" t="s">
        <v>65</v>
      </c>
      <c r="L7" s="9" t="s">
        <v>66</v>
      </c>
      <c r="M7" s="9" t="s">
        <v>67</v>
      </c>
      <c r="N7" s="9" t="s">
        <v>68</v>
      </c>
      <c r="O7" s="9" t="s">
        <v>69</v>
      </c>
      <c r="P7" s="9" t="s">
        <v>70</v>
      </c>
      <c r="Q7" s="8" t="s">
        <v>31</v>
      </c>
      <c r="R7" s="8">
        <v>1</v>
      </c>
      <c r="S7" s="9" t="s">
        <v>71</v>
      </c>
      <c r="T7" s="9" t="s">
        <v>33</v>
      </c>
      <c r="U7" s="3">
        <v>3</v>
      </c>
      <c r="V7" s="3" t="s">
        <v>34</v>
      </c>
      <c r="W7" s="3">
        <v>0</v>
      </c>
      <c r="X7" s="9" t="s">
        <v>72</v>
      </c>
      <c r="Y7" s="8">
        <v>9598422808</v>
      </c>
      <c r="Z7" s="13" t="s">
        <v>73</v>
      </c>
      <c r="AA7" s="56" t="s">
        <v>601</v>
      </c>
      <c r="AB7" s="61" t="s">
        <v>605</v>
      </c>
      <c r="AC7" s="63" t="s">
        <v>605</v>
      </c>
      <c r="AF7" s="119"/>
    </row>
    <row r="8" spans="1:32" x14ac:dyDescent="0.35">
      <c r="A8" s="2">
        <v>7</v>
      </c>
      <c r="B8" s="2" t="s">
        <v>725</v>
      </c>
      <c r="C8" s="3">
        <v>39056</v>
      </c>
      <c r="D8" s="3">
        <v>1252255548</v>
      </c>
      <c r="E8" s="2">
        <v>21573201849</v>
      </c>
      <c r="F8" s="11">
        <v>940879560324</v>
      </c>
      <c r="G8" s="5">
        <v>40544</v>
      </c>
      <c r="H8" s="6" t="s">
        <v>74</v>
      </c>
      <c r="I8" s="6" t="s">
        <v>74</v>
      </c>
      <c r="J8" s="6" t="s">
        <v>75</v>
      </c>
      <c r="K8" s="7" t="s">
        <v>76</v>
      </c>
      <c r="L8" s="7" t="s">
        <v>77</v>
      </c>
      <c r="M8" s="14" t="s">
        <v>78</v>
      </c>
      <c r="N8" s="7" t="s">
        <v>79</v>
      </c>
      <c r="O8" s="14" t="s">
        <v>80</v>
      </c>
      <c r="P8" s="9" t="s">
        <v>81</v>
      </c>
      <c r="Q8" s="8" t="s">
        <v>31</v>
      </c>
      <c r="R8" s="8">
        <v>1</v>
      </c>
      <c r="S8" s="15" t="s">
        <v>82</v>
      </c>
      <c r="T8" s="15" t="s">
        <v>33</v>
      </c>
      <c r="U8" s="3">
        <v>3</v>
      </c>
      <c r="V8" s="3" t="s">
        <v>34</v>
      </c>
      <c r="W8" s="3">
        <v>0</v>
      </c>
      <c r="X8" s="14" t="s">
        <v>83</v>
      </c>
      <c r="Y8" s="3">
        <v>9519725292</v>
      </c>
      <c r="Z8" s="7" t="s">
        <v>84</v>
      </c>
      <c r="AA8" s="64" t="s">
        <v>601</v>
      </c>
      <c r="AB8" s="65"/>
      <c r="AC8" s="64"/>
      <c r="AF8" s="119"/>
    </row>
    <row r="9" spans="1:32" x14ac:dyDescent="0.35">
      <c r="A9" s="2">
        <v>8</v>
      </c>
      <c r="B9" s="2" t="s">
        <v>725</v>
      </c>
      <c r="C9" s="3">
        <v>40121</v>
      </c>
      <c r="D9" s="3">
        <v>1252267352</v>
      </c>
      <c r="E9" s="2">
        <v>21327890764</v>
      </c>
      <c r="F9" s="4" t="s">
        <v>326</v>
      </c>
      <c r="G9" s="5">
        <v>39448</v>
      </c>
      <c r="H9" s="6" t="s">
        <v>74</v>
      </c>
      <c r="I9" s="6" t="s">
        <v>74</v>
      </c>
      <c r="J9" s="6" t="s">
        <v>24</v>
      </c>
      <c r="K9" s="7" t="s">
        <v>327</v>
      </c>
      <c r="L9" s="7" t="s">
        <v>328</v>
      </c>
      <c r="M9" s="7" t="s">
        <v>329</v>
      </c>
      <c r="N9" s="7" t="s">
        <v>330</v>
      </c>
      <c r="O9" s="7" t="s">
        <v>331</v>
      </c>
      <c r="P9" s="7" t="s">
        <v>332</v>
      </c>
      <c r="Q9" s="8" t="s">
        <v>31</v>
      </c>
      <c r="R9" s="8">
        <v>1</v>
      </c>
      <c r="S9" s="9" t="s">
        <v>333</v>
      </c>
      <c r="T9" s="9" t="s">
        <v>33</v>
      </c>
      <c r="U9" s="3">
        <v>3</v>
      </c>
      <c r="V9" s="3" t="s">
        <v>34</v>
      </c>
      <c r="W9" s="3">
        <v>0</v>
      </c>
      <c r="X9" s="7" t="s">
        <v>334</v>
      </c>
      <c r="Y9" s="8">
        <v>8400510565</v>
      </c>
      <c r="Z9" s="10" t="s">
        <v>335</v>
      </c>
      <c r="AA9" s="58" t="s">
        <v>601</v>
      </c>
      <c r="AB9" s="59"/>
      <c r="AC9" s="60"/>
      <c r="AF9" s="119"/>
    </row>
    <row r="10" spans="1:32" x14ac:dyDescent="0.35">
      <c r="A10" s="2">
        <v>9</v>
      </c>
      <c r="B10" s="2" t="s">
        <v>725</v>
      </c>
      <c r="C10" s="3">
        <v>39032</v>
      </c>
      <c r="D10" s="3">
        <v>1252255554</v>
      </c>
      <c r="E10" s="2">
        <v>22786885814</v>
      </c>
      <c r="F10" s="11">
        <v>387090609033</v>
      </c>
      <c r="G10" s="5">
        <v>39649</v>
      </c>
      <c r="H10" s="6">
        <v>20</v>
      </c>
      <c r="I10" s="6" t="s">
        <v>85</v>
      </c>
      <c r="J10" s="6">
        <v>2008</v>
      </c>
      <c r="K10" s="84" t="s">
        <v>86</v>
      </c>
      <c r="L10" s="9" t="s">
        <v>87</v>
      </c>
      <c r="M10" s="9" t="s">
        <v>88</v>
      </c>
      <c r="N10" s="9" t="s">
        <v>89</v>
      </c>
      <c r="O10" s="9" t="s">
        <v>90</v>
      </c>
      <c r="P10" s="9" t="s">
        <v>91</v>
      </c>
      <c r="Q10" s="8" t="s">
        <v>31</v>
      </c>
      <c r="R10" s="8">
        <v>1</v>
      </c>
      <c r="S10" s="9" t="s">
        <v>92</v>
      </c>
      <c r="T10" s="9" t="s">
        <v>33</v>
      </c>
      <c r="U10" s="3">
        <v>3</v>
      </c>
      <c r="V10" s="3" t="s">
        <v>34</v>
      </c>
      <c r="W10" s="3">
        <v>0</v>
      </c>
      <c r="X10" s="9" t="s">
        <v>93</v>
      </c>
      <c r="Y10" s="8">
        <v>8090498955</v>
      </c>
      <c r="Z10" s="13" t="s">
        <v>94</v>
      </c>
      <c r="AA10" s="56" t="s">
        <v>606</v>
      </c>
      <c r="AB10" s="61" t="s">
        <v>605</v>
      </c>
      <c r="AC10" s="63" t="s">
        <v>605</v>
      </c>
      <c r="AF10" s="119"/>
    </row>
    <row r="11" spans="1:32" x14ac:dyDescent="0.35">
      <c r="A11" s="2">
        <v>10</v>
      </c>
      <c r="B11" s="2" t="s">
        <v>725</v>
      </c>
      <c r="C11" s="8">
        <v>39076</v>
      </c>
      <c r="D11" s="3">
        <v>1252255566</v>
      </c>
      <c r="E11" s="33">
        <v>21052522520</v>
      </c>
      <c r="F11" s="11" t="s">
        <v>349</v>
      </c>
      <c r="G11" s="5">
        <v>40544</v>
      </c>
      <c r="H11" s="18" t="s">
        <v>74</v>
      </c>
      <c r="I11" s="18" t="s">
        <v>74</v>
      </c>
      <c r="J11" s="6" t="s">
        <v>75</v>
      </c>
      <c r="K11" s="21" t="s">
        <v>350</v>
      </c>
      <c r="L11" s="15" t="s">
        <v>351</v>
      </c>
      <c r="M11" s="9" t="s">
        <v>352</v>
      </c>
      <c r="N11" s="15" t="s">
        <v>353</v>
      </c>
      <c r="O11" s="9" t="s">
        <v>339</v>
      </c>
      <c r="P11" s="15" t="s">
        <v>316</v>
      </c>
      <c r="Q11" s="8" t="s">
        <v>31</v>
      </c>
      <c r="R11" s="3">
        <v>1</v>
      </c>
      <c r="S11" s="15" t="s">
        <v>32</v>
      </c>
      <c r="T11" s="15" t="s">
        <v>33</v>
      </c>
      <c r="U11" s="3">
        <v>3</v>
      </c>
      <c r="V11" s="3" t="s">
        <v>34</v>
      </c>
      <c r="W11" s="3">
        <v>0</v>
      </c>
      <c r="X11" s="9" t="s">
        <v>354</v>
      </c>
      <c r="Y11" s="34">
        <v>8858353002</v>
      </c>
      <c r="Z11" s="35" t="s">
        <v>355</v>
      </c>
      <c r="AA11" s="56" t="s">
        <v>602</v>
      </c>
      <c r="AB11" s="89" t="s">
        <v>607</v>
      </c>
      <c r="AC11" s="56" t="s">
        <v>608</v>
      </c>
      <c r="AF11" s="119"/>
    </row>
    <row r="12" spans="1:32" ht="16.5" x14ac:dyDescent="0.35">
      <c r="A12" s="2">
        <v>11</v>
      </c>
      <c r="B12" s="2" t="s">
        <v>725</v>
      </c>
      <c r="C12" s="16">
        <v>39096</v>
      </c>
      <c r="D12" s="3">
        <v>1252255569</v>
      </c>
      <c r="E12" s="2">
        <v>21499203466</v>
      </c>
      <c r="F12" s="9" t="s">
        <v>95</v>
      </c>
      <c r="G12" s="5">
        <v>40035</v>
      </c>
      <c r="H12" s="17" t="s">
        <v>96</v>
      </c>
      <c r="I12" s="17" t="s">
        <v>97</v>
      </c>
      <c r="J12" s="17" t="s">
        <v>40</v>
      </c>
      <c r="K12" s="7" t="s">
        <v>98</v>
      </c>
      <c r="L12" s="7" t="s">
        <v>99</v>
      </c>
      <c r="M12" s="7" t="s">
        <v>100</v>
      </c>
      <c r="N12" s="7" t="s">
        <v>101</v>
      </c>
      <c r="O12" s="7" t="s">
        <v>102</v>
      </c>
      <c r="P12" s="7" t="s">
        <v>103</v>
      </c>
      <c r="Q12" s="8" t="s">
        <v>31</v>
      </c>
      <c r="R12" s="8">
        <v>1</v>
      </c>
      <c r="S12" s="9" t="s">
        <v>32</v>
      </c>
      <c r="T12" s="9" t="s">
        <v>33</v>
      </c>
      <c r="U12" s="3">
        <v>3</v>
      </c>
      <c r="V12" s="3" t="s">
        <v>34</v>
      </c>
      <c r="W12" s="3">
        <v>0</v>
      </c>
      <c r="X12" s="7" t="s">
        <v>104</v>
      </c>
      <c r="Y12" s="8">
        <v>9695268145</v>
      </c>
      <c r="Z12" s="10" t="s">
        <v>105</v>
      </c>
      <c r="AA12" s="56" t="s">
        <v>601</v>
      </c>
      <c r="AB12" s="57"/>
      <c r="AC12" s="57"/>
      <c r="AF12" s="119"/>
    </row>
    <row r="13" spans="1:32" x14ac:dyDescent="0.35">
      <c r="A13" s="2">
        <v>12</v>
      </c>
      <c r="B13" s="2" t="s">
        <v>725</v>
      </c>
      <c r="C13" s="3">
        <v>37170</v>
      </c>
      <c r="D13" s="3">
        <v>1252255575</v>
      </c>
      <c r="E13" s="2">
        <v>21245074882</v>
      </c>
      <c r="F13" s="11">
        <v>572604048622</v>
      </c>
      <c r="G13" s="5">
        <v>39517</v>
      </c>
      <c r="H13" s="6" t="s">
        <v>96</v>
      </c>
      <c r="I13" s="6" t="s">
        <v>118</v>
      </c>
      <c r="J13" s="6" t="s">
        <v>24</v>
      </c>
      <c r="K13" s="85" t="s">
        <v>108</v>
      </c>
      <c r="L13" s="7" t="s">
        <v>109</v>
      </c>
      <c r="M13" s="7" t="s">
        <v>119</v>
      </c>
      <c r="N13" s="7" t="s">
        <v>120</v>
      </c>
      <c r="O13" s="7" t="s">
        <v>121</v>
      </c>
      <c r="P13" s="9" t="s">
        <v>122</v>
      </c>
      <c r="Q13" s="8" t="s">
        <v>31</v>
      </c>
      <c r="R13" s="8">
        <v>1</v>
      </c>
      <c r="S13" s="9" t="s">
        <v>123</v>
      </c>
      <c r="T13" s="9" t="s">
        <v>33</v>
      </c>
      <c r="U13" s="3">
        <v>3</v>
      </c>
      <c r="V13" s="3" t="s">
        <v>34</v>
      </c>
      <c r="W13" s="3">
        <v>0</v>
      </c>
      <c r="X13" s="7" t="s">
        <v>83</v>
      </c>
      <c r="Y13" s="8">
        <v>7398694084</v>
      </c>
      <c r="Z13" s="7" t="s">
        <v>124</v>
      </c>
      <c r="AA13" s="56" t="s">
        <v>606</v>
      </c>
      <c r="AB13" s="61" t="s">
        <v>605</v>
      </c>
      <c r="AC13" s="56" t="s">
        <v>605</v>
      </c>
      <c r="AF13" s="119"/>
    </row>
    <row r="14" spans="1:32" x14ac:dyDescent="0.35">
      <c r="A14" s="2">
        <v>13</v>
      </c>
      <c r="B14" s="2" t="s">
        <v>725</v>
      </c>
      <c r="C14" s="3">
        <v>37217</v>
      </c>
      <c r="D14" s="3">
        <v>1252255571</v>
      </c>
      <c r="E14" s="2">
        <v>21499651012</v>
      </c>
      <c r="F14" s="11" t="s">
        <v>106</v>
      </c>
      <c r="G14" s="5">
        <v>39998</v>
      </c>
      <c r="H14" s="6" t="s">
        <v>107</v>
      </c>
      <c r="I14" s="6" t="s">
        <v>85</v>
      </c>
      <c r="J14" s="6" t="s">
        <v>40</v>
      </c>
      <c r="K14" s="7" t="s">
        <v>108</v>
      </c>
      <c r="L14" s="7" t="s">
        <v>109</v>
      </c>
      <c r="M14" s="7" t="s">
        <v>110</v>
      </c>
      <c r="N14" s="7" t="s">
        <v>111</v>
      </c>
      <c r="O14" s="7" t="s">
        <v>112</v>
      </c>
      <c r="P14" s="9" t="s">
        <v>113</v>
      </c>
      <c r="Q14" s="8" t="s">
        <v>31</v>
      </c>
      <c r="R14" s="8">
        <v>1</v>
      </c>
      <c r="S14" s="9" t="s">
        <v>114</v>
      </c>
      <c r="T14" s="9" t="s">
        <v>115</v>
      </c>
      <c r="U14" s="3">
        <v>2</v>
      </c>
      <c r="V14" s="3" t="s">
        <v>34</v>
      </c>
      <c r="W14" s="3">
        <v>0</v>
      </c>
      <c r="X14" s="7" t="s">
        <v>116</v>
      </c>
      <c r="Y14" s="8">
        <v>8953295243</v>
      </c>
      <c r="Z14" s="7" t="s">
        <v>117</v>
      </c>
      <c r="AA14" s="56" t="s">
        <v>601</v>
      </c>
      <c r="AB14" s="61"/>
      <c r="AC14" s="56"/>
      <c r="AF14" s="119"/>
    </row>
    <row r="15" spans="1:32" x14ac:dyDescent="0.35">
      <c r="A15" s="2">
        <v>14</v>
      </c>
      <c r="B15" s="2" t="s">
        <v>725</v>
      </c>
      <c r="C15" s="3">
        <v>40147</v>
      </c>
      <c r="D15" s="3" t="s">
        <v>366</v>
      </c>
      <c r="E15" s="2">
        <v>21422879109</v>
      </c>
      <c r="F15" s="4">
        <v>386281120721</v>
      </c>
      <c r="G15" s="5">
        <v>40544</v>
      </c>
      <c r="H15" s="6" t="s">
        <v>74</v>
      </c>
      <c r="I15" s="6" t="s">
        <v>74</v>
      </c>
      <c r="J15" s="6" t="s">
        <v>75</v>
      </c>
      <c r="K15" s="7" t="s">
        <v>127</v>
      </c>
      <c r="L15" s="7" t="s">
        <v>128</v>
      </c>
      <c r="M15" s="7" t="s">
        <v>367</v>
      </c>
      <c r="N15" s="7" t="s">
        <v>368</v>
      </c>
      <c r="O15" s="7" t="s">
        <v>369</v>
      </c>
      <c r="P15" s="7" t="s">
        <v>370</v>
      </c>
      <c r="Q15" s="8" t="s">
        <v>31</v>
      </c>
      <c r="R15" s="8">
        <v>1</v>
      </c>
      <c r="S15" s="9" t="s">
        <v>32</v>
      </c>
      <c r="T15" s="9" t="s">
        <v>33</v>
      </c>
      <c r="U15" s="3">
        <v>3</v>
      </c>
      <c r="V15" s="3" t="s">
        <v>34</v>
      </c>
      <c r="W15" s="3">
        <v>0</v>
      </c>
      <c r="X15" s="7" t="s">
        <v>371</v>
      </c>
      <c r="Y15" s="8">
        <v>9651486966</v>
      </c>
      <c r="Z15" s="10" t="s">
        <v>372</v>
      </c>
      <c r="AA15" s="58" t="s">
        <v>601</v>
      </c>
      <c r="AB15" s="59"/>
      <c r="AC15" s="60"/>
    </row>
    <row r="16" spans="1:32" x14ac:dyDescent="0.35">
      <c r="A16" s="2">
        <v>15</v>
      </c>
      <c r="B16" s="2" t="s">
        <v>725</v>
      </c>
      <c r="C16" s="3">
        <v>37180</v>
      </c>
      <c r="D16" s="3">
        <v>1252255584</v>
      </c>
      <c r="E16" s="2">
        <v>21294843958</v>
      </c>
      <c r="F16" s="11">
        <v>927197697060</v>
      </c>
      <c r="G16" s="5">
        <v>40138</v>
      </c>
      <c r="H16" s="18" t="s">
        <v>130</v>
      </c>
      <c r="I16" s="18" t="s">
        <v>23</v>
      </c>
      <c r="J16" s="6" t="s">
        <v>40</v>
      </c>
      <c r="K16" s="9" t="s">
        <v>131</v>
      </c>
      <c r="L16" s="15" t="s">
        <v>132</v>
      </c>
      <c r="M16" s="9" t="s">
        <v>133</v>
      </c>
      <c r="N16" s="15" t="s">
        <v>134</v>
      </c>
      <c r="O16" s="9" t="s">
        <v>135</v>
      </c>
      <c r="P16" s="15" t="s">
        <v>136</v>
      </c>
      <c r="Q16" s="8" t="s">
        <v>31</v>
      </c>
      <c r="R16" s="8">
        <v>1</v>
      </c>
      <c r="S16" s="9" t="s">
        <v>32</v>
      </c>
      <c r="T16" s="9" t="s">
        <v>33</v>
      </c>
      <c r="U16" s="3">
        <v>3</v>
      </c>
      <c r="V16" s="3" t="s">
        <v>34</v>
      </c>
      <c r="W16" s="3">
        <v>0</v>
      </c>
      <c r="X16" s="9" t="s">
        <v>137</v>
      </c>
      <c r="Y16" s="8">
        <v>9936431332</v>
      </c>
      <c r="Z16" s="13" t="s">
        <v>138</v>
      </c>
      <c r="AA16" s="56" t="s">
        <v>601</v>
      </c>
      <c r="AB16" s="66" t="s">
        <v>605</v>
      </c>
      <c r="AC16" s="56" t="s">
        <v>605</v>
      </c>
      <c r="AF16" s="119"/>
    </row>
    <row r="17" spans="1:32" x14ac:dyDescent="0.35">
      <c r="A17" s="2">
        <v>16</v>
      </c>
      <c r="B17" s="2" t="s">
        <v>725</v>
      </c>
      <c r="C17" s="3">
        <v>39062</v>
      </c>
      <c r="D17" s="3">
        <v>1252255589</v>
      </c>
      <c r="E17" s="2">
        <v>23010833902</v>
      </c>
      <c r="F17" s="4">
        <v>521226798038</v>
      </c>
      <c r="G17" s="5">
        <v>39752</v>
      </c>
      <c r="H17" s="6" t="s">
        <v>139</v>
      </c>
      <c r="I17" s="6" t="s">
        <v>96</v>
      </c>
      <c r="J17" s="6" t="s">
        <v>24</v>
      </c>
      <c r="K17" s="7" t="s">
        <v>140</v>
      </c>
      <c r="L17" s="7" t="s">
        <v>141</v>
      </c>
      <c r="M17" s="7" t="s">
        <v>142</v>
      </c>
      <c r="N17" s="7" t="s">
        <v>143</v>
      </c>
      <c r="O17" s="7" t="s">
        <v>144</v>
      </c>
      <c r="P17" s="7" t="s">
        <v>145</v>
      </c>
      <c r="Q17" s="8" t="s">
        <v>31</v>
      </c>
      <c r="R17" s="8">
        <v>1</v>
      </c>
      <c r="S17" s="9" t="s">
        <v>146</v>
      </c>
      <c r="T17" s="9" t="s">
        <v>33</v>
      </c>
      <c r="U17" s="3">
        <v>3</v>
      </c>
      <c r="V17" s="3" t="s">
        <v>34</v>
      </c>
      <c r="W17" s="3">
        <v>0</v>
      </c>
      <c r="X17" s="7" t="s">
        <v>147</v>
      </c>
      <c r="Y17" s="8">
        <v>7054291240</v>
      </c>
      <c r="Z17" s="19" t="s">
        <v>148</v>
      </c>
      <c r="AA17" s="56" t="s">
        <v>601</v>
      </c>
      <c r="AB17" s="57"/>
      <c r="AC17" s="57"/>
      <c r="AF17" s="119"/>
    </row>
    <row r="18" spans="1:32" x14ac:dyDescent="0.35">
      <c r="A18" s="2">
        <v>17</v>
      </c>
      <c r="B18" s="2" t="s">
        <v>725</v>
      </c>
      <c r="C18" s="3">
        <v>39020</v>
      </c>
      <c r="D18" s="3">
        <v>1252255607</v>
      </c>
      <c r="E18" s="2">
        <v>21065800616</v>
      </c>
      <c r="F18" s="20" t="s">
        <v>151</v>
      </c>
      <c r="G18" s="5">
        <v>40014</v>
      </c>
      <c r="H18" s="6" t="s">
        <v>152</v>
      </c>
      <c r="I18" s="6" t="s">
        <v>85</v>
      </c>
      <c r="J18" s="6" t="s">
        <v>40</v>
      </c>
      <c r="K18" s="7" t="s">
        <v>153</v>
      </c>
      <c r="L18" s="7" t="s">
        <v>154</v>
      </c>
      <c r="M18" s="14" t="s">
        <v>155</v>
      </c>
      <c r="N18" s="7" t="s">
        <v>156</v>
      </c>
      <c r="O18" s="14" t="s">
        <v>157</v>
      </c>
      <c r="P18" s="9" t="s">
        <v>158</v>
      </c>
      <c r="Q18" s="8" t="s">
        <v>31</v>
      </c>
      <c r="R18" s="8">
        <v>1</v>
      </c>
      <c r="S18" s="15" t="s">
        <v>32</v>
      </c>
      <c r="T18" s="15" t="s">
        <v>33</v>
      </c>
      <c r="U18" s="3">
        <v>3</v>
      </c>
      <c r="V18" s="3" t="s">
        <v>34</v>
      </c>
      <c r="W18" s="3">
        <v>0</v>
      </c>
      <c r="X18" s="14" t="s">
        <v>83</v>
      </c>
      <c r="Y18" s="3">
        <v>8081749763</v>
      </c>
      <c r="Z18" s="7" t="s">
        <v>159</v>
      </c>
      <c r="AA18" s="64" t="s">
        <v>601</v>
      </c>
      <c r="AB18" s="65"/>
      <c r="AC18" s="64"/>
      <c r="AF18" s="119"/>
    </row>
    <row r="19" spans="1:32" x14ac:dyDescent="0.35">
      <c r="A19" s="2">
        <v>18</v>
      </c>
      <c r="B19" s="2" t="s">
        <v>725</v>
      </c>
      <c r="C19" s="3">
        <v>39070</v>
      </c>
      <c r="D19" s="3">
        <v>1252255610</v>
      </c>
      <c r="E19" s="2">
        <v>21296027832</v>
      </c>
      <c r="F19" s="4">
        <v>671190469526</v>
      </c>
      <c r="G19" s="5">
        <v>40534</v>
      </c>
      <c r="H19" s="6" t="s">
        <v>160</v>
      </c>
      <c r="I19" s="6" t="s">
        <v>161</v>
      </c>
      <c r="J19" s="6" t="s">
        <v>162</v>
      </c>
      <c r="K19" s="7" t="s">
        <v>163</v>
      </c>
      <c r="L19" s="7" t="s">
        <v>164</v>
      </c>
      <c r="M19" s="7" t="s">
        <v>165</v>
      </c>
      <c r="N19" s="7" t="s">
        <v>166</v>
      </c>
      <c r="O19" s="7" t="s">
        <v>167</v>
      </c>
      <c r="P19" s="7" t="s">
        <v>168</v>
      </c>
      <c r="Q19" s="8" t="s">
        <v>31</v>
      </c>
      <c r="R19" s="8">
        <v>1</v>
      </c>
      <c r="S19" s="9" t="s">
        <v>169</v>
      </c>
      <c r="T19" s="9" t="s">
        <v>61</v>
      </c>
      <c r="U19" s="3">
        <v>4</v>
      </c>
      <c r="V19" s="3" t="s">
        <v>34</v>
      </c>
      <c r="W19" s="3">
        <v>0</v>
      </c>
      <c r="X19" s="7" t="s">
        <v>170</v>
      </c>
      <c r="Y19" s="8">
        <v>9452636920</v>
      </c>
      <c r="Z19" s="10" t="s">
        <v>171</v>
      </c>
      <c r="AA19" s="56" t="s">
        <v>601</v>
      </c>
      <c r="AB19" s="57"/>
      <c r="AC19" s="57"/>
      <c r="AF19" s="119"/>
    </row>
    <row r="20" spans="1:32" x14ac:dyDescent="0.35">
      <c r="A20" s="2">
        <v>19</v>
      </c>
      <c r="B20" s="2" t="s">
        <v>725</v>
      </c>
      <c r="C20" s="3">
        <v>37224</v>
      </c>
      <c r="D20" s="3">
        <v>1252255621</v>
      </c>
      <c r="E20" s="2">
        <v>21325384557</v>
      </c>
      <c r="F20" s="11" t="s">
        <v>172</v>
      </c>
      <c r="G20" s="5">
        <v>39949</v>
      </c>
      <c r="H20" s="6" t="s">
        <v>173</v>
      </c>
      <c r="I20" s="6" t="s">
        <v>53</v>
      </c>
      <c r="J20" s="6" t="s">
        <v>40</v>
      </c>
      <c r="K20" s="7" t="s">
        <v>174</v>
      </c>
      <c r="L20" s="7" t="s">
        <v>175</v>
      </c>
      <c r="M20" s="7" t="s">
        <v>176</v>
      </c>
      <c r="N20" s="7" t="s">
        <v>177</v>
      </c>
      <c r="O20" s="7" t="s">
        <v>178</v>
      </c>
      <c r="P20" s="7" t="s">
        <v>179</v>
      </c>
      <c r="Q20" s="8" t="s">
        <v>31</v>
      </c>
      <c r="R20" s="8">
        <v>1</v>
      </c>
      <c r="S20" s="9" t="s">
        <v>60</v>
      </c>
      <c r="T20" s="9" t="s">
        <v>61</v>
      </c>
      <c r="U20" s="3">
        <v>4</v>
      </c>
      <c r="V20" s="3" t="s">
        <v>31</v>
      </c>
      <c r="W20" s="3">
        <v>1</v>
      </c>
      <c r="X20" s="7" t="s">
        <v>180</v>
      </c>
      <c r="Y20" s="8">
        <v>8853120790</v>
      </c>
      <c r="Z20" s="19" t="s">
        <v>181</v>
      </c>
      <c r="AA20" s="56" t="s">
        <v>601</v>
      </c>
      <c r="AB20" s="61"/>
      <c r="AC20" s="63"/>
      <c r="AF20" s="119"/>
    </row>
    <row r="21" spans="1:32" x14ac:dyDescent="0.35">
      <c r="A21" s="2">
        <v>20</v>
      </c>
      <c r="B21" s="2" t="s">
        <v>725</v>
      </c>
      <c r="C21" s="3">
        <v>37253</v>
      </c>
      <c r="D21" s="3">
        <v>1252255649</v>
      </c>
      <c r="E21" s="2">
        <v>21754387620</v>
      </c>
      <c r="F21" s="11">
        <v>537850185546</v>
      </c>
      <c r="G21" s="5">
        <v>39594</v>
      </c>
      <c r="H21" s="6" t="s">
        <v>182</v>
      </c>
      <c r="I21" s="6" t="s">
        <v>53</v>
      </c>
      <c r="J21" s="6" t="s">
        <v>24</v>
      </c>
      <c r="K21" s="21" t="s">
        <v>183</v>
      </c>
      <c r="L21" s="9" t="s">
        <v>184</v>
      </c>
      <c r="M21" s="9" t="s">
        <v>185</v>
      </c>
      <c r="N21" s="9" t="s">
        <v>186</v>
      </c>
      <c r="O21" s="9" t="s">
        <v>187</v>
      </c>
      <c r="P21" s="9" t="s">
        <v>188</v>
      </c>
      <c r="Q21" s="8" t="s">
        <v>31</v>
      </c>
      <c r="R21" s="8">
        <v>1</v>
      </c>
      <c r="S21" s="9" t="s">
        <v>189</v>
      </c>
      <c r="T21" s="9" t="s">
        <v>33</v>
      </c>
      <c r="U21" s="3">
        <v>3</v>
      </c>
      <c r="V21" s="3" t="s">
        <v>34</v>
      </c>
      <c r="W21" s="3">
        <v>0</v>
      </c>
      <c r="X21" s="9" t="s">
        <v>190</v>
      </c>
      <c r="Y21" s="8">
        <v>9125374243</v>
      </c>
      <c r="Z21" s="13" t="s">
        <v>191</v>
      </c>
      <c r="AA21" s="56" t="s">
        <v>602</v>
      </c>
      <c r="AB21" s="88" t="s">
        <v>609</v>
      </c>
      <c r="AC21" s="56" t="s">
        <v>610</v>
      </c>
    </row>
    <row r="22" spans="1:32" x14ac:dyDescent="0.35">
      <c r="A22" s="2">
        <v>21</v>
      </c>
      <c r="B22" s="2" t="s">
        <v>725</v>
      </c>
      <c r="C22" s="3">
        <v>38924</v>
      </c>
      <c r="D22" s="3">
        <v>1252255650</v>
      </c>
      <c r="E22" s="2">
        <v>21064854622</v>
      </c>
      <c r="F22" s="11">
        <v>547719947971</v>
      </c>
      <c r="G22" s="5">
        <v>39545</v>
      </c>
      <c r="H22" s="18" t="s">
        <v>85</v>
      </c>
      <c r="I22" s="18" t="s">
        <v>107</v>
      </c>
      <c r="J22" s="22">
        <v>2008</v>
      </c>
      <c r="K22" s="9" t="s">
        <v>192</v>
      </c>
      <c r="L22" s="9" t="s">
        <v>193</v>
      </c>
      <c r="M22" s="9" t="s">
        <v>194</v>
      </c>
      <c r="N22" s="9" t="s">
        <v>195</v>
      </c>
      <c r="O22" s="9" t="s">
        <v>196</v>
      </c>
      <c r="P22" s="9" t="s">
        <v>197</v>
      </c>
      <c r="Q22" s="8" t="s">
        <v>31</v>
      </c>
      <c r="R22" s="8">
        <v>1</v>
      </c>
      <c r="S22" s="9" t="s">
        <v>198</v>
      </c>
      <c r="T22" s="9" t="s">
        <v>33</v>
      </c>
      <c r="U22" s="3">
        <v>3</v>
      </c>
      <c r="V22" s="3" t="s">
        <v>34</v>
      </c>
      <c r="W22" s="3">
        <v>0</v>
      </c>
      <c r="X22" s="9" t="s">
        <v>199</v>
      </c>
      <c r="Y22" s="8">
        <v>9918420798</v>
      </c>
      <c r="Z22" s="13" t="s">
        <v>200</v>
      </c>
      <c r="AA22" s="56" t="s">
        <v>601</v>
      </c>
      <c r="AB22" s="66" t="s">
        <v>605</v>
      </c>
      <c r="AC22" s="56" t="s">
        <v>605</v>
      </c>
      <c r="AF22" s="119"/>
    </row>
    <row r="23" spans="1:32" x14ac:dyDescent="0.35">
      <c r="A23" s="2">
        <v>22</v>
      </c>
      <c r="B23" s="2" t="s">
        <v>725</v>
      </c>
      <c r="C23" s="3">
        <v>40139</v>
      </c>
      <c r="D23" s="3">
        <v>1252266436</v>
      </c>
      <c r="E23" s="2">
        <v>21184653009</v>
      </c>
      <c r="F23" s="4" t="s">
        <v>356</v>
      </c>
      <c r="G23" s="5">
        <v>39814</v>
      </c>
      <c r="H23" s="6" t="s">
        <v>74</v>
      </c>
      <c r="I23" s="6" t="s">
        <v>74</v>
      </c>
      <c r="J23" s="6" t="s">
        <v>40</v>
      </c>
      <c r="K23" s="7" t="s">
        <v>357</v>
      </c>
      <c r="L23" s="7" t="s">
        <v>358</v>
      </c>
      <c r="M23" s="7" t="s">
        <v>359</v>
      </c>
      <c r="N23" s="7" t="s">
        <v>360</v>
      </c>
      <c r="O23" s="7" t="s">
        <v>361</v>
      </c>
      <c r="P23" s="7" t="s">
        <v>362</v>
      </c>
      <c r="Q23" s="8" t="s">
        <v>31</v>
      </c>
      <c r="R23" s="8">
        <v>1</v>
      </c>
      <c r="S23" s="9" t="s">
        <v>363</v>
      </c>
      <c r="T23" s="9" t="s">
        <v>33</v>
      </c>
      <c r="U23" s="3">
        <v>3</v>
      </c>
      <c r="V23" s="3" t="s">
        <v>34</v>
      </c>
      <c r="W23" s="3">
        <v>0</v>
      </c>
      <c r="X23" s="7" t="s">
        <v>364</v>
      </c>
      <c r="Y23" s="8">
        <v>7347759011</v>
      </c>
      <c r="Z23" s="10" t="s">
        <v>365</v>
      </c>
      <c r="AA23" s="58" t="s">
        <v>601</v>
      </c>
      <c r="AB23" s="59"/>
      <c r="AC23" s="60"/>
      <c r="AF23" s="119"/>
    </row>
    <row r="24" spans="1:32" x14ac:dyDescent="0.35">
      <c r="A24" s="2">
        <v>23</v>
      </c>
      <c r="B24" s="2" t="s">
        <v>725</v>
      </c>
      <c r="C24" s="3">
        <v>39033</v>
      </c>
      <c r="D24" s="3">
        <v>1252255658</v>
      </c>
      <c r="E24" s="2">
        <v>21122055237</v>
      </c>
      <c r="F24" s="11">
        <v>375327782079</v>
      </c>
      <c r="G24" s="5">
        <v>39686</v>
      </c>
      <c r="H24" s="22">
        <v>26</v>
      </c>
      <c r="I24" s="18" t="s">
        <v>97</v>
      </c>
      <c r="J24" s="22">
        <v>2008</v>
      </c>
      <c r="K24" s="84" t="s">
        <v>201</v>
      </c>
      <c r="L24" s="9" t="s">
        <v>202</v>
      </c>
      <c r="M24" s="9" t="s">
        <v>203</v>
      </c>
      <c r="N24" s="9" t="s">
        <v>204</v>
      </c>
      <c r="O24" s="9" t="s">
        <v>205</v>
      </c>
      <c r="P24" s="9" t="s">
        <v>206</v>
      </c>
      <c r="Q24" s="8" t="s">
        <v>31</v>
      </c>
      <c r="R24" s="8">
        <v>1</v>
      </c>
      <c r="S24" s="9" t="s">
        <v>32</v>
      </c>
      <c r="T24" s="9" t="s">
        <v>33</v>
      </c>
      <c r="U24" s="3">
        <v>3</v>
      </c>
      <c r="V24" s="3" t="s">
        <v>34</v>
      </c>
      <c r="W24" s="3">
        <v>0</v>
      </c>
      <c r="X24" s="9" t="s">
        <v>207</v>
      </c>
      <c r="Y24" s="8">
        <v>9026392776</v>
      </c>
      <c r="Z24" s="13" t="s">
        <v>208</v>
      </c>
      <c r="AA24" s="56" t="s">
        <v>606</v>
      </c>
      <c r="AB24" s="66" t="s">
        <v>605</v>
      </c>
      <c r="AC24" s="56" t="s">
        <v>605</v>
      </c>
      <c r="AF24" s="119"/>
    </row>
    <row r="25" spans="1:32" x14ac:dyDescent="0.35">
      <c r="A25" s="2">
        <v>24</v>
      </c>
      <c r="B25" s="2" t="s">
        <v>725</v>
      </c>
      <c r="C25" s="3">
        <v>37228</v>
      </c>
      <c r="D25" s="3">
        <v>1252255661</v>
      </c>
      <c r="E25" s="2">
        <v>21607635206</v>
      </c>
      <c r="F25" s="11" t="s">
        <v>209</v>
      </c>
      <c r="G25" s="5">
        <v>39780</v>
      </c>
      <c r="H25" s="6" t="s">
        <v>210</v>
      </c>
      <c r="I25" s="6" t="s">
        <v>23</v>
      </c>
      <c r="J25" s="6" t="s">
        <v>24</v>
      </c>
      <c r="K25" s="7" t="s">
        <v>211</v>
      </c>
      <c r="L25" s="7" t="s">
        <v>212</v>
      </c>
      <c r="M25" s="7" t="s">
        <v>213</v>
      </c>
      <c r="N25" s="7" t="s">
        <v>214</v>
      </c>
      <c r="O25" s="7" t="s">
        <v>215</v>
      </c>
      <c r="P25" s="7" t="s">
        <v>216</v>
      </c>
      <c r="Q25" s="8" t="s">
        <v>31</v>
      </c>
      <c r="R25" s="8">
        <v>1</v>
      </c>
      <c r="S25" s="9" t="s">
        <v>217</v>
      </c>
      <c r="T25" s="9" t="s">
        <v>61</v>
      </c>
      <c r="U25" s="3">
        <v>4</v>
      </c>
      <c r="V25" s="3" t="s">
        <v>34</v>
      </c>
      <c r="W25" s="3">
        <v>0</v>
      </c>
      <c r="X25" s="7" t="s">
        <v>218</v>
      </c>
      <c r="Y25" s="8">
        <v>7275130076</v>
      </c>
      <c r="Z25" s="10" t="s">
        <v>219</v>
      </c>
      <c r="AA25" s="56" t="s">
        <v>601</v>
      </c>
      <c r="AB25" s="61"/>
      <c r="AC25" s="63"/>
      <c r="AF25" s="119"/>
    </row>
    <row r="26" spans="1:32" ht="16.5" x14ac:dyDescent="0.35">
      <c r="A26" s="2">
        <v>25</v>
      </c>
      <c r="B26" s="2" t="s">
        <v>725</v>
      </c>
      <c r="C26" s="16">
        <v>37281</v>
      </c>
      <c r="D26" s="3">
        <v>1252255666</v>
      </c>
      <c r="E26" s="2">
        <v>21416650253</v>
      </c>
      <c r="F26" s="11" t="s">
        <v>220</v>
      </c>
      <c r="G26" s="5">
        <v>40341</v>
      </c>
      <c r="H26" s="6" t="s">
        <v>161</v>
      </c>
      <c r="I26" s="6" t="s">
        <v>52</v>
      </c>
      <c r="J26" s="6" t="s">
        <v>162</v>
      </c>
      <c r="K26" s="7" t="s">
        <v>221</v>
      </c>
      <c r="L26" s="7" t="s">
        <v>222</v>
      </c>
      <c r="M26" s="7" t="s">
        <v>223</v>
      </c>
      <c r="N26" s="7" t="s">
        <v>224</v>
      </c>
      <c r="O26" s="7" t="s">
        <v>225</v>
      </c>
      <c r="P26" s="7" t="s">
        <v>226</v>
      </c>
      <c r="Q26" s="8" t="s">
        <v>31</v>
      </c>
      <c r="R26" s="8">
        <v>1</v>
      </c>
      <c r="S26" s="9" t="s">
        <v>227</v>
      </c>
      <c r="T26" s="9" t="s">
        <v>33</v>
      </c>
      <c r="U26" s="3">
        <v>3</v>
      </c>
      <c r="V26" s="3" t="s">
        <v>34</v>
      </c>
      <c r="W26" s="3">
        <v>0</v>
      </c>
      <c r="X26" s="7" t="s">
        <v>180</v>
      </c>
      <c r="Y26" s="8">
        <v>7052466964</v>
      </c>
      <c r="Z26" s="10" t="s">
        <v>228</v>
      </c>
      <c r="AA26" s="56" t="s">
        <v>601</v>
      </c>
      <c r="AB26" s="61"/>
      <c r="AC26" s="63"/>
      <c r="AF26" s="119"/>
    </row>
    <row r="27" spans="1:32" x14ac:dyDescent="0.35">
      <c r="A27" s="2">
        <v>26</v>
      </c>
      <c r="B27" s="2" t="s">
        <v>725</v>
      </c>
      <c r="C27" s="3">
        <v>37232</v>
      </c>
      <c r="D27" s="3">
        <v>1252255670</v>
      </c>
      <c r="E27" s="2">
        <v>21373952980</v>
      </c>
      <c r="F27" s="11" t="s">
        <v>229</v>
      </c>
      <c r="G27" s="5">
        <v>40439</v>
      </c>
      <c r="H27" s="6" t="s">
        <v>125</v>
      </c>
      <c r="I27" s="6" t="s">
        <v>126</v>
      </c>
      <c r="J27" s="6" t="s">
        <v>162</v>
      </c>
      <c r="K27" s="7" t="s">
        <v>230</v>
      </c>
      <c r="L27" s="7" t="s">
        <v>231</v>
      </c>
      <c r="M27" s="7" t="s">
        <v>232</v>
      </c>
      <c r="N27" s="7" t="s">
        <v>233</v>
      </c>
      <c r="O27" s="7" t="s">
        <v>234</v>
      </c>
      <c r="P27" s="7" t="s">
        <v>235</v>
      </c>
      <c r="Q27" s="8" t="s">
        <v>31</v>
      </c>
      <c r="R27" s="8">
        <v>1</v>
      </c>
      <c r="S27" s="9" t="s">
        <v>32</v>
      </c>
      <c r="T27" s="9" t="s">
        <v>33</v>
      </c>
      <c r="U27" s="3">
        <v>3</v>
      </c>
      <c r="V27" s="3" t="s">
        <v>34</v>
      </c>
      <c r="W27" s="3">
        <v>0</v>
      </c>
      <c r="X27" s="7" t="s">
        <v>236</v>
      </c>
      <c r="Y27" s="8">
        <v>9936431332</v>
      </c>
      <c r="Z27" s="10" t="s">
        <v>237</v>
      </c>
      <c r="AA27" s="56" t="s">
        <v>601</v>
      </c>
      <c r="AB27" s="61"/>
      <c r="AC27" s="63"/>
      <c r="AF27" s="119"/>
    </row>
    <row r="28" spans="1:32" x14ac:dyDescent="0.35">
      <c r="A28" s="2">
        <v>27</v>
      </c>
      <c r="B28" s="2" t="s">
        <v>725</v>
      </c>
      <c r="C28" s="3">
        <v>39007</v>
      </c>
      <c r="D28" s="3">
        <v>1252255676</v>
      </c>
      <c r="E28" s="2">
        <v>21103030347</v>
      </c>
      <c r="F28" s="23">
        <v>326247983646</v>
      </c>
      <c r="G28" s="24">
        <v>39704</v>
      </c>
      <c r="H28" s="25">
        <v>13</v>
      </c>
      <c r="I28" s="25" t="s">
        <v>126</v>
      </c>
      <c r="J28" s="25">
        <v>2008</v>
      </c>
      <c r="K28" s="26" t="s">
        <v>238</v>
      </c>
      <c r="L28" s="27" t="s">
        <v>239</v>
      </c>
      <c r="M28" s="27" t="s">
        <v>240</v>
      </c>
      <c r="N28" s="27" t="s">
        <v>241</v>
      </c>
      <c r="O28" s="27" t="s">
        <v>242</v>
      </c>
      <c r="P28" s="27" t="s">
        <v>243</v>
      </c>
      <c r="Q28" s="28" t="s">
        <v>31</v>
      </c>
      <c r="R28" s="8">
        <v>1</v>
      </c>
      <c r="S28" s="9" t="s">
        <v>244</v>
      </c>
      <c r="T28" s="27" t="s">
        <v>61</v>
      </c>
      <c r="U28" s="3">
        <v>4</v>
      </c>
      <c r="V28" s="29" t="s">
        <v>34</v>
      </c>
      <c r="W28" s="3">
        <v>0</v>
      </c>
      <c r="X28" s="27" t="s">
        <v>245</v>
      </c>
      <c r="Y28" s="28">
        <v>9452863359</v>
      </c>
      <c r="Z28" s="30" t="s">
        <v>246</v>
      </c>
      <c r="AA28" s="67" t="s">
        <v>602</v>
      </c>
      <c r="AB28" s="68" t="s">
        <v>611</v>
      </c>
      <c r="AC28" s="67" t="s">
        <v>608</v>
      </c>
    </row>
    <row r="29" spans="1:32" x14ac:dyDescent="0.35">
      <c r="A29" s="2">
        <v>28</v>
      </c>
      <c r="B29" s="2" t="s">
        <v>725</v>
      </c>
      <c r="C29" s="3">
        <v>37260</v>
      </c>
      <c r="D29" s="3">
        <v>1252255679</v>
      </c>
      <c r="E29" s="2">
        <v>21251968693</v>
      </c>
      <c r="F29" s="23">
        <v>702091095930</v>
      </c>
      <c r="G29" s="24">
        <v>39792</v>
      </c>
      <c r="H29" s="25" t="s">
        <v>96</v>
      </c>
      <c r="I29" s="25" t="s">
        <v>161</v>
      </c>
      <c r="J29" s="25" t="s">
        <v>24</v>
      </c>
      <c r="K29" s="27" t="s">
        <v>247</v>
      </c>
      <c r="L29" s="27" t="s">
        <v>248</v>
      </c>
      <c r="M29" s="27" t="s">
        <v>249</v>
      </c>
      <c r="N29" s="27" t="s">
        <v>250</v>
      </c>
      <c r="O29" s="27" t="s">
        <v>251</v>
      </c>
      <c r="P29" s="27" t="s">
        <v>252</v>
      </c>
      <c r="Q29" s="28" t="s">
        <v>31</v>
      </c>
      <c r="R29" s="8">
        <v>1</v>
      </c>
      <c r="S29" s="9" t="s">
        <v>32</v>
      </c>
      <c r="T29" s="27" t="s">
        <v>33</v>
      </c>
      <c r="U29" s="3">
        <v>3</v>
      </c>
      <c r="V29" s="29" t="s">
        <v>34</v>
      </c>
      <c r="W29" s="3">
        <v>0</v>
      </c>
      <c r="X29" s="27" t="s">
        <v>253</v>
      </c>
      <c r="Y29" s="28">
        <v>9918881937</v>
      </c>
      <c r="Z29" s="31" t="s">
        <v>254</v>
      </c>
      <c r="AA29" s="67" t="s">
        <v>601</v>
      </c>
      <c r="AB29" s="69" t="s">
        <v>605</v>
      </c>
      <c r="AC29" s="70" t="s">
        <v>605</v>
      </c>
      <c r="AF29" s="119"/>
    </row>
    <row r="30" spans="1:32" x14ac:dyDescent="0.35">
      <c r="A30" s="2">
        <v>29</v>
      </c>
      <c r="B30" s="2" t="s">
        <v>725</v>
      </c>
      <c r="C30" s="29">
        <v>37242</v>
      </c>
      <c r="D30" s="3">
        <v>1252255681</v>
      </c>
      <c r="E30" s="2">
        <v>21630284194</v>
      </c>
      <c r="F30" s="23">
        <v>551668261476</v>
      </c>
      <c r="G30" s="24">
        <v>39996</v>
      </c>
      <c r="H30" s="25" t="s">
        <v>39</v>
      </c>
      <c r="I30" s="25" t="s">
        <v>85</v>
      </c>
      <c r="J30" s="25" t="s">
        <v>40</v>
      </c>
      <c r="K30" s="86" t="s">
        <v>255</v>
      </c>
      <c r="L30" s="27" t="s">
        <v>256</v>
      </c>
      <c r="M30" s="27" t="s">
        <v>257</v>
      </c>
      <c r="N30" s="27" t="s">
        <v>258</v>
      </c>
      <c r="O30" s="27" t="s">
        <v>259</v>
      </c>
      <c r="P30" s="27" t="s">
        <v>129</v>
      </c>
      <c r="Q30" s="28" t="s">
        <v>31</v>
      </c>
      <c r="R30" s="8">
        <v>1</v>
      </c>
      <c r="S30" s="9" t="s">
        <v>47</v>
      </c>
      <c r="T30" s="27" t="s">
        <v>48</v>
      </c>
      <c r="U30" s="3">
        <v>1</v>
      </c>
      <c r="V30" s="29" t="s">
        <v>34</v>
      </c>
      <c r="W30" s="3">
        <v>0</v>
      </c>
      <c r="X30" s="27" t="s">
        <v>260</v>
      </c>
      <c r="Y30" s="28">
        <v>9519722384</v>
      </c>
      <c r="Z30" s="30" t="s">
        <v>261</v>
      </c>
      <c r="AA30" s="67" t="s">
        <v>606</v>
      </c>
      <c r="AB30" s="69" t="s">
        <v>605</v>
      </c>
      <c r="AC30" s="70" t="s">
        <v>605</v>
      </c>
      <c r="AF30" s="119"/>
    </row>
    <row r="31" spans="1:32" x14ac:dyDescent="0.35">
      <c r="A31" s="2">
        <v>30</v>
      </c>
      <c r="B31" s="2" t="s">
        <v>725</v>
      </c>
      <c r="C31" s="3">
        <v>37181</v>
      </c>
      <c r="D31" s="3">
        <v>1252255682</v>
      </c>
      <c r="E31" s="2">
        <v>21429175519</v>
      </c>
      <c r="F31" s="23">
        <v>339463992456</v>
      </c>
      <c r="G31" s="24">
        <v>39912</v>
      </c>
      <c r="H31" s="25" t="s">
        <v>126</v>
      </c>
      <c r="I31" s="25" t="s">
        <v>107</v>
      </c>
      <c r="J31" s="25" t="s">
        <v>40</v>
      </c>
      <c r="K31" s="26" t="s">
        <v>262</v>
      </c>
      <c r="L31" s="27" t="s">
        <v>263</v>
      </c>
      <c r="M31" s="27" t="s">
        <v>264</v>
      </c>
      <c r="N31" s="27" t="s">
        <v>265</v>
      </c>
      <c r="O31" s="27" t="s">
        <v>266</v>
      </c>
      <c r="P31" s="27" t="s">
        <v>267</v>
      </c>
      <c r="Q31" s="28" t="s">
        <v>31</v>
      </c>
      <c r="R31" s="8">
        <v>1</v>
      </c>
      <c r="S31" s="27" t="s">
        <v>227</v>
      </c>
      <c r="T31" s="27" t="s">
        <v>33</v>
      </c>
      <c r="U31" s="3">
        <v>3</v>
      </c>
      <c r="V31" s="29" t="s">
        <v>34</v>
      </c>
      <c r="W31" s="3">
        <v>0</v>
      </c>
      <c r="X31" s="27" t="s">
        <v>268</v>
      </c>
      <c r="Y31" s="28">
        <v>8858125721</v>
      </c>
      <c r="Z31" s="32" t="s">
        <v>269</v>
      </c>
      <c r="AA31" s="67" t="s">
        <v>602</v>
      </c>
      <c r="AB31" s="87" t="s">
        <v>612</v>
      </c>
      <c r="AC31" s="67" t="s">
        <v>608</v>
      </c>
    </row>
    <row r="32" spans="1:32" x14ac:dyDescent="0.35">
      <c r="A32" s="2">
        <v>31</v>
      </c>
      <c r="B32" s="2" t="s">
        <v>725</v>
      </c>
      <c r="C32" s="3">
        <v>37746</v>
      </c>
      <c r="D32" s="3">
        <v>1252255689</v>
      </c>
      <c r="E32" s="33">
        <v>21504052054</v>
      </c>
      <c r="F32" s="11" t="s">
        <v>270</v>
      </c>
      <c r="G32" s="5">
        <v>40223</v>
      </c>
      <c r="H32" s="6" t="s">
        <v>271</v>
      </c>
      <c r="I32" s="6" t="s">
        <v>39</v>
      </c>
      <c r="J32" s="6" t="s">
        <v>162</v>
      </c>
      <c r="K32" s="7" t="s">
        <v>272</v>
      </c>
      <c r="L32" s="7" t="s">
        <v>273</v>
      </c>
      <c r="M32" s="7" t="s">
        <v>274</v>
      </c>
      <c r="N32" s="7" t="s">
        <v>275</v>
      </c>
      <c r="O32" s="7" t="s">
        <v>276</v>
      </c>
      <c r="P32" s="7" t="s">
        <v>277</v>
      </c>
      <c r="Q32" s="8" t="s">
        <v>31</v>
      </c>
      <c r="R32" s="8">
        <v>1</v>
      </c>
      <c r="S32" s="9" t="s">
        <v>244</v>
      </c>
      <c r="T32" s="9" t="s">
        <v>61</v>
      </c>
      <c r="U32" s="3">
        <v>4</v>
      </c>
      <c r="V32" s="3" t="s">
        <v>34</v>
      </c>
      <c r="W32" s="3">
        <v>0</v>
      </c>
      <c r="X32" s="7" t="s">
        <v>278</v>
      </c>
      <c r="Y32" s="8">
        <v>9125091601</v>
      </c>
      <c r="Z32" s="10" t="s">
        <v>279</v>
      </c>
      <c r="AA32" s="56" t="s">
        <v>601</v>
      </c>
      <c r="AB32" s="71"/>
      <c r="AC32" s="63"/>
      <c r="AF32" s="119"/>
    </row>
    <row r="33" spans="1:32" x14ac:dyDescent="0.35">
      <c r="A33" s="2">
        <v>32</v>
      </c>
      <c r="B33" s="2" t="s">
        <v>725</v>
      </c>
      <c r="C33" s="3">
        <v>39029</v>
      </c>
      <c r="D33" s="3">
        <v>1252255701</v>
      </c>
      <c r="E33" s="33">
        <v>21264654264</v>
      </c>
      <c r="F33" s="11">
        <v>800328553493</v>
      </c>
      <c r="G33" s="5">
        <v>39886</v>
      </c>
      <c r="H33" s="6">
        <v>14</v>
      </c>
      <c r="I33" s="6" t="s">
        <v>118</v>
      </c>
      <c r="J33" s="6">
        <v>2009</v>
      </c>
      <c r="K33" s="7" t="s">
        <v>280</v>
      </c>
      <c r="L33" s="7" t="s">
        <v>281</v>
      </c>
      <c r="M33" s="7" t="s">
        <v>282</v>
      </c>
      <c r="N33" s="7" t="s">
        <v>283</v>
      </c>
      <c r="O33" s="7" t="s">
        <v>284</v>
      </c>
      <c r="P33" s="7" t="s">
        <v>285</v>
      </c>
      <c r="Q33" s="8" t="s">
        <v>31</v>
      </c>
      <c r="R33" s="8">
        <v>1</v>
      </c>
      <c r="S33" s="9" t="s">
        <v>32</v>
      </c>
      <c r="T33" s="9" t="s">
        <v>33</v>
      </c>
      <c r="U33" s="3">
        <v>3</v>
      </c>
      <c r="V33" s="3" t="s">
        <v>34</v>
      </c>
      <c r="W33" s="3">
        <v>0</v>
      </c>
      <c r="X33" s="7" t="s">
        <v>150</v>
      </c>
      <c r="Y33" s="8">
        <v>9305949533</v>
      </c>
      <c r="Z33" s="10" t="s">
        <v>286</v>
      </c>
      <c r="AA33" s="56" t="s">
        <v>601</v>
      </c>
      <c r="AB33" s="71" t="s">
        <v>605</v>
      </c>
      <c r="AC33" s="63" t="s">
        <v>605</v>
      </c>
      <c r="AF33" s="119"/>
    </row>
    <row r="34" spans="1:32" x14ac:dyDescent="0.35">
      <c r="A34" s="2">
        <v>33</v>
      </c>
      <c r="B34" s="2" t="s">
        <v>725</v>
      </c>
      <c r="C34" s="3">
        <v>37160</v>
      </c>
      <c r="D34" s="3">
        <v>1252255708</v>
      </c>
      <c r="E34" s="33">
        <v>21325838055</v>
      </c>
      <c r="F34" s="23">
        <v>699215999117</v>
      </c>
      <c r="G34" s="24">
        <v>40130</v>
      </c>
      <c r="H34" s="25" t="s">
        <v>287</v>
      </c>
      <c r="I34" s="25" t="s">
        <v>23</v>
      </c>
      <c r="J34" s="25" t="s">
        <v>40</v>
      </c>
      <c r="K34" s="27" t="s">
        <v>288</v>
      </c>
      <c r="L34" s="27" t="s">
        <v>289</v>
      </c>
      <c r="M34" s="27" t="s">
        <v>290</v>
      </c>
      <c r="N34" s="27" t="s">
        <v>291</v>
      </c>
      <c r="O34" s="27" t="s">
        <v>292</v>
      </c>
      <c r="P34" s="27" t="s">
        <v>293</v>
      </c>
      <c r="Q34" s="28" t="s">
        <v>31</v>
      </c>
      <c r="R34" s="8">
        <v>1</v>
      </c>
      <c r="S34" s="27" t="s">
        <v>294</v>
      </c>
      <c r="T34" s="27" t="s">
        <v>61</v>
      </c>
      <c r="U34" s="3">
        <v>4</v>
      </c>
      <c r="V34" s="29" t="s">
        <v>34</v>
      </c>
      <c r="W34" s="3">
        <v>0</v>
      </c>
      <c r="X34" s="27" t="s">
        <v>295</v>
      </c>
      <c r="Y34" s="28">
        <v>7398773797</v>
      </c>
      <c r="Z34" s="30" t="s">
        <v>296</v>
      </c>
      <c r="AA34" s="67" t="s">
        <v>601</v>
      </c>
      <c r="AB34" s="73" t="s">
        <v>605</v>
      </c>
      <c r="AC34" s="70" t="s">
        <v>605</v>
      </c>
      <c r="AF34" s="119"/>
    </row>
    <row r="35" spans="1:32" x14ac:dyDescent="0.35">
      <c r="A35" s="2">
        <v>34</v>
      </c>
      <c r="B35" s="2" t="s">
        <v>725</v>
      </c>
      <c r="C35" s="3">
        <v>38272</v>
      </c>
      <c r="D35" s="3">
        <v>1252255715</v>
      </c>
      <c r="E35" s="33">
        <v>21370961997</v>
      </c>
      <c r="F35" s="23">
        <v>732100554113</v>
      </c>
      <c r="G35" s="24">
        <v>40225</v>
      </c>
      <c r="H35" s="25" t="s">
        <v>173</v>
      </c>
      <c r="I35" s="25" t="s">
        <v>39</v>
      </c>
      <c r="J35" s="25" t="s">
        <v>162</v>
      </c>
      <c r="K35" s="27" t="s">
        <v>297</v>
      </c>
      <c r="L35" s="27" t="s">
        <v>298</v>
      </c>
      <c r="M35" s="27" t="s">
        <v>299</v>
      </c>
      <c r="N35" s="27" t="s">
        <v>300</v>
      </c>
      <c r="O35" s="27" t="s">
        <v>301</v>
      </c>
      <c r="P35" s="27" t="s">
        <v>302</v>
      </c>
      <c r="Q35" s="28" t="s">
        <v>31</v>
      </c>
      <c r="R35" s="8">
        <v>1</v>
      </c>
      <c r="S35" s="27" t="s">
        <v>303</v>
      </c>
      <c r="T35" s="27" t="s">
        <v>33</v>
      </c>
      <c r="U35" s="3">
        <v>3</v>
      </c>
      <c r="V35" s="29" t="s">
        <v>34</v>
      </c>
      <c r="W35" s="3">
        <v>0</v>
      </c>
      <c r="X35" s="27" t="s">
        <v>304</v>
      </c>
      <c r="Y35" s="28">
        <v>9721686499</v>
      </c>
      <c r="Z35" s="30" t="s">
        <v>305</v>
      </c>
      <c r="AA35" s="67" t="s">
        <v>601</v>
      </c>
      <c r="AB35" s="73" t="s">
        <v>605</v>
      </c>
      <c r="AC35" s="70" t="s">
        <v>605</v>
      </c>
      <c r="AF35" s="119"/>
    </row>
    <row r="36" spans="1:32" x14ac:dyDescent="0.35">
      <c r="A36" s="2">
        <v>35</v>
      </c>
      <c r="B36" s="2" t="s">
        <v>725</v>
      </c>
      <c r="C36" s="3">
        <v>40107</v>
      </c>
      <c r="D36" s="3">
        <v>1252263857</v>
      </c>
      <c r="E36" s="2">
        <v>22650034990</v>
      </c>
      <c r="F36" s="4" t="s">
        <v>317</v>
      </c>
      <c r="G36" s="5">
        <v>39938</v>
      </c>
      <c r="H36" s="6" t="s">
        <v>53</v>
      </c>
      <c r="I36" s="6" t="s">
        <v>53</v>
      </c>
      <c r="J36" s="6" t="s">
        <v>40</v>
      </c>
      <c r="K36" s="7" t="s">
        <v>594</v>
      </c>
      <c r="L36" s="7" t="s">
        <v>318</v>
      </c>
      <c r="M36" s="7" t="s">
        <v>319</v>
      </c>
      <c r="N36" s="7" t="s">
        <v>320</v>
      </c>
      <c r="O36" s="7" t="s">
        <v>321</v>
      </c>
      <c r="P36" s="7" t="s">
        <v>322</v>
      </c>
      <c r="Q36" s="8" t="s">
        <v>31</v>
      </c>
      <c r="R36" s="8">
        <v>1</v>
      </c>
      <c r="S36" s="9" t="s">
        <v>323</v>
      </c>
      <c r="T36" s="9" t="s">
        <v>33</v>
      </c>
      <c r="U36" s="3">
        <v>3</v>
      </c>
      <c r="V36" s="3" t="s">
        <v>34</v>
      </c>
      <c r="W36" s="3">
        <v>0</v>
      </c>
      <c r="X36" s="7" t="s">
        <v>324</v>
      </c>
      <c r="Y36" s="8">
        <v>6386345720</v>
      </c>
      <c r="Z36" s="10" t="s">
        <v>325</v>
      </c>
      <c r="AA36" s="58" t="s">
        <v>601</v>
      </c>
      <c r="AB36" s="72"/>
      <c r="AC36" s="60"/>
      <c r="AF36" s="119"/>
    </row>
    <row r="37" spans="1:32" x14ac:dyDescent="0.35">
      <c r="A37" s="2">
        <v>36</v>
      </c>
      <c r="B37" s="2" t="s">
        <v>725</v>
      </c>
      <c r="C37" s="3">
        <v>36488</v>
      </c>
      <c r="D37" s="3">
        <v>1242447193</v>
      </c>
      <c r="E37" s="2">
        <v>21600449694</v>
      </c>
      <c r="F37" s="4" t="s">
        <v>306</v>
      </c>
      <c r="G37" s="5">
        <v>39840</v>
      </c>
      <c r="H37" s="6" t="s">
        <v>149</v>
      </c>
      <c r="I37" s="6" t="s">
        <v>74</v>
      </c>
      <c r="J37" s="6" t="s">
        <v>40</v>
      </c>
      <c r="K37" s="7" t="s">
        <v>307</v>
      </c>
      <c r="L37" s="7" t="s">
        <v>308</v>
      </c>
      <c r="M37" s="7" t="s">
        <v>309</v>
      </c>
      <c r="N37" s="7" t="s">
        <v>310</v>
      </c>
      <c r="O37" s="7" t="s">
        <v>311</v>
      </c>
      <c r="P37" s="7" t="s">
        <v>312</v>
      </c>
      <c r="Q37" s="8" t="s">
        <v>31</v>
      </c>
      <c r="R37" s="8">
        <v>1</v>
      </c>
      <c r="S37" s="9" t="s">
        <v>313</v>
      </c>
      <c r="T37" s="9" t="s">
        <v>33</v>
      </c>
      <c r="U37" s="3">
        <v>3</v>
      </c>
      <c r="V37" s="3" t="s">
        <v>34</v>
      </c>
      <c r="W37" s="3">
        <v>0</v>
      </c>
      <c r="X37" s="7" t="s">
        <v>314</v>
      </c>
      <c r="Y37" s="8">
        <v>7522057072</v>
      </c>
      <c r="Z37" s="10" t="s">
        <v>315</v>
      </c>
      <c r="AA37" s="58" t="s">
        <v>601</v>
      </c>
      <c r="AB37" s="59"/>
      <c r="AC37" s="60"/>
      <c r="AF37" s="119"/>
    </row>
    <row r="38" spans="1:32" x14ac:dyDescent="0.35">
      <c r="A38" s="2">
        <v>37</v>
      </c>
      <c r="B38" s="2" t="s">
        <v>725</v>
      </c>
      <c r="C38" s="3">
        <v>37156</v>
      </c>
      <c r="D38" s="3">
        <v>1252255728</v>
      </c>
      <c r="E38" s="2">
        <v>21610671260</v>
      </c>
      <c r="F38" s="4">
        <v>912374096360</v>
      </c>
      <c r="G38" s="5">
        <v>39940</v>
      </c>
      <c r="H38" s="18" t="s">
        <v>85</v>
      </c>
      <c r="I38" s="18" t="s">
        <v>53</v>
      </c>
      <c r="J38" s="18" t="s">
        <v>40</v>
      </c>
      <c r="K38" s="7" t="s">
        <v>595</v>
      </c>
      <c r="L38" s="7" t="s">
        <v>439</v>
      </c>
      <c r="M38" s="7" t="s">
        <v>440</v>
      </c>
      <c r="N38" s="7" t="s">
        <v>441</v>
      </c>
      <c r="O38" s="7" t="s">
        <v>442</v>
      </c>
      <c r="P38" s="7" t="s">
        <v>443</v>
      </c>
      <c r="Q38" s="8" t="s">
        <v>377</v>
      </c>
      <c r="R38" s="8">
        <v>2</v>
      </c>
      <c r="S38" s="9" t="s">
        <v>444</v>
      </c>
      <c r="T38" s="9" t="s">
        <v>33</v>
      </c>
      <c r="U38" s="3">
        <v>3</v>
      </c>
      <c r="V38" s="3" t="s">
        <v>34</v>
      </c>
      <c r="W38" s="3">
        <v>0</v>
      </c>
      <c r="X38" s="7" t="s">
        <v>445</v>
      </c>
      <c r="Y38" s="8">
        <v>8853767194</v>
      </c>
      <c r="Z38" s="10" t="s">
        <v>446</v>
      </c>
      <c r="AA38" s="56" t="s">
        <v>601</v>
      </c>
      <c r="AB38" s="74"/>
      <c r="AC38" s="57"/>
      <c r="AF38" s="119"/>
    </row>
    <row r="39" spans="1:32" x14ac:dyDescent="0.35">
      <c r="A39" s="2">
        <v>38</v>
      </c>
      <c r="B39" s="2" t="s">
        <v>725</v>
      </c>
      <c r="C39" s="3">
        <v>38940</v>
      </c>
      <c r="D39" s="3">
        <v>1252255736</v>
      </c>
      <c r="E39" s="2">
        <v>21473874271</v>
      </c>
      <c r="F39" s="11">
        <v>982931653622</v>
      </c>
      <c r="G39" s="5">
        <v>40143</v>
      </c>
      <c r="H39" s="6" t="s">
        <v>182</v>
      </c>
      <c r="I39" s="6" t="s">
        <v>23</v>
      </c>
      <c r="J39" s="6" t="s">
        <v>40</v>
      </c>
      <c r="K39" s="9" t="s">
        <v>373</v>
      </c>
      <c r="L39" s="9" t="s">
        <v>374</v>
      </c>
      <c r="M39" s="9" t="s">
        <v>375</v>
      </c>
      <c r="N39" s="9" t="s">
        <v>376</v>
      </c>
      <c r="O39" s="9" t="s">
        <v>251</v>
      </c>
      <c r="P39" s="9" t="s">
        <v>252</v>
      </c>
      <c r="Q39" s="8" t="s">
        <v>377</v>
      </c>
      <c r="R39" s="8">
        <v>2</v>
      </c>
      <c r="S39" s="9" t="s">
        <v>32</v>
      </c>
      <c r="T39" s="9" t="s">
        <v>33</v>
      </c>
      <c r="U39" s="3">
        <v>3</v>
      </c>
      <c r="V39" s="3" t="s">
        <v>34</v>
      </c>
      <c r="W39" s="3">
        <v>0</v>
      </c>
      <c r="X39" s="9" t="s">
        <v>378</v>
      </c>
      <c r="Y39" s="8">
        <v>9450320524</v>
      </c>
      <c r="Z39" s="13" t="s">
        <v>379</v>
      </c>
      <c r="AA39" s="56" t="s">
        <v>601</v>
      </c>
      <c r="AB39" s="75" t="s">
        <v>605</v>
      </c>
      <c r="AC39" s="56" t="s">
        <v>605</v>
      </c>
      <c r="AF39" s="119"/>
    </row>
    <row r="40" spans="1:32" x14ac:dyDescent="0.35">
      <c r="A40" s="2">
        <v>39</v>
      </c>
      <c r="B40" s="2" t="s">
        <v>725</v>
      </c>
      <c r="C40" s="42" t="s">
        <v>571</v>
      </c>
      <c r="D40" s="3">
        <v>1252255738</v>
      </c>
      <c r="E40" s="2">
        <v>21049747689</v>
      </c>
      <c r="F40" s="4">
        <v>926775823431</v>
      </c>
      <c r="G40" s="5">
        <v>39978</v>
      </c>
      <c r="H40" s="9" t="s">
        <v>271</v>
      </c>
      <c r="I40" s="9" t="s">
        <v>52</v>
      </c>
      <c r="J40" s="9" t="s">
        <v>40</v>
      </c>
      <c r="K40" s="21" t="s">
        <v>572</v>
      </c>
      <c r="L40" s="9" t="s">
        <v>573</v>
      </c>
      <c r="M40" s="9" t="s">
        <v>574</v>
      </c>
      <c r="N40" s="9" t="s">
        <v>575</v>
      </c>
      <c r="O40" s="9" t="s">
        <v>576</v>
      </c>
      <c r="P40" s="9" t="s">
        <v>577</v>
      </c>
      <c r="Q40" s="8" t="s">
        <v>377</v>
      </c>
      <c r="R40" s="8">
        <v>2</v>
      </c>
      <c r="S40" s="9" t="s">
        <v>32</v>
      </c>
      <c r="T40" s="9" t="s">
        <v>33</v>
      </c>
      <c r="U40" s="3">
        <v>3</v>
      </c>
      <c r="V40" s="3" t="s">
        <v>34</v>
      </c>
      <c r="W40" s="3">
        <v>0</v>
      </c>
      <c r="X40" s="9" t="s">
        <v>150</v>
      </c>
      <c r="Y40" s="8">
        <v>6394318895</v>
      </c>
      <c r="Z40" s="37" t="s">
        <v>578</v>
      </c>
      <c r="AA40" s="56" t="s">
        <v>602</v>
      </c>
      <c r="AB40" s="90" t="s">
        <v>613</v>
      </c>
      <c r="AC40" s="56" t="s">
        <v>614</v>
      </c>
    </row>
    <row r="41" spans="1:32" x14ac:dyDescent="0.35">
      <c r="A41" s="2">
        <v>40</v>
      </c>
      <c r="B41" s="2" t="s">
        <v>725</v>
      </c>
      <c r="C41" s="3" t="s">
        <v>380</v>
      </c>
      <c r="D41" s="3">
        <v>1252255756</v>
      </c>
      <c r="E41" s="2">
        <v>21576605986</v>
      </c>
      <c r="F41" s="4">
        <v>709640194219</v>
      </c>
      <c r="G41" s="5">
        <v>40038</v>
      </c>
      <c r="H41" s="18" t="s">
        <v>287</v>
      </c>
      <c r="I41" s="18" t="s">
        <v>97</v>
      </c>
      <c r="J41" s="18" t="s">
        <v>40</v>
      </c>
      <c r="K41" s="12" t="s">
        <v>381</v>
      </c>
      <c r="L41" s="7" t="s">
        <v>382</v>
      </c>
      <c r="M41" s="7" t="s">
        <v>383</v>
      </c>
      <c r="N41" s="7" t="s">
        <v>384</v>
      </c>
      <c r="O41" s="7" t="s">
        <v>385</v>
      </c>
      <c r="P41" s="7" t="s">
        <v>386</v>
      </c>
      <c r="Q41" s="8" t="s">
        <v>377</v>
      </c>
      <c r="R41" s="8">
        <v>2</v>
      </c>
      <c r="S41" s="9" t="s">
        <v>217</v>
      </c>
      <c r="T41" s="9" t="s">
        <v>61</v>
      </c>
      <c r="U41" s="3">
        <v>4</v>
      </c>
      <c r="V41" s="3" t="s">
        <v>34</v>
      </c>
      <c r="W41" s="3">
        <v>0</v>
      </c>
      <c r="X41" s="7" t="s">
        <v>387</v>
      </c>
      <c r="Y41" s="8">
        <v>8423806530</v>
      </c>
      <c r="Z41" s="10" t="s">
        <v>388</v>
      </c>
      <c r="AA41" s="56" t="s">
        <v>602</v>
      </c>
      <c r="AB41" s="76" t="s">
        <v>615</v>
      </c>
      <c r="AC41" s="56" t="s">
        <v>614</v>
      </c>
    </row>
    <row r="42" spans="1:32" x14ac:dyDescent="0.35">
      <c r="A42" s="2">
        <v>41</v>
      </c>
      <c r="B42" s="2" t="s">
        <v>725</v>
      </c>
      <c r="C42" s="3">
        <v>38990</v>
      </c>
      <c r="D42" s="3">
        <v>1252255760</v>
      </c>
      <c r="E42" s="2">
        <v>21145141686</v>
      </c>
      <c r="F42" s="4" t="s">
        <v>389</v>
      </c>
      <c r="G42" s="5">
        <v>40766</v>
      </c>
      <c r="H42" s="18" t="s">
        <v>23</v>
      </c>
      <c r="I42" s="18" t="s">
        <v>97</v>
      </c>
      <c r="J42" s="18" t="s">
        <v>75</v>
      </c>
      <c r="K42" s="12" t="s">
        <v>390</v>
      </c>
      <c r="L42" s="7" t="s">
        <v>391</v>
      </c>
      <c r="M42" s="7" t="s">
        <v>392</v>
      </c>
      <c r="N42" s="7" t="s">
        <v>393</v>
      </c>
      <c r="O42" s="36" t="s">
        <v>394</v>
      </c>
      <c r="P42" s="7" t="s">
        <v>395</v>
      </c>
      <c r="Q42" s="8" t="s">
        <v>377</v>
      </c>
      <c r="R42" s="8">
        <v>2</v>
      </c>
      <c r="S42" s="9" t="s">
        <v>32</v>
      </c>
      <c r="T42" s="27" t="s">
        <v>33</v>
      </c>
      <c r="U42" s="3">
        <v>3</v>
      </c>
      <c r="V42" s="3" t="s">
        <v>34</v>
      </c>
      <c r="W42" s="3">
        <v>0</v>
      </c>
      <c r="X42" s="7" t="s">
        <v>396</v>
      </c>
      <c r="Y42" s="8">
        <v>9026354036</v>
      </c>
      <c r="Z42" s="19" t="s">
        <v>397</v>
      </c>
      <c r="AA42" s="56" t="s">
        <v>602</v>
      </c>
      <c r="AB42" s="62" t="s">
        <v>616</v>
      </c>
      <c r="AC42" s="56" t="s">
        <v>617</v>
      </c>
    </row>
    <row r="43" spans="1:32" x14ac:dyDescent="0.35">
      <c r="A43" s="2">
        <v>42</v>
      </c>
      <c r="B43" s="2" t="s">
        <v>725</v>
      </c>
      <c r="C43" s="3">
        <v>37099</v>
      </c>
      <c r="D43" s="3">
        <v>1252255777</v>
      </c>
      <c r="E43" s="2">
        <v>21383045325</v>
      </c>
      <c r="F43" s="11">
        <v>223103399828</v>
      </c>
      <c r="G43" s="5">
        <v>39984</v>
      </c>
      <c r="H43" s="18" t="s">
        <v>152</v>
      </c>
      <c r="I43" s="18" t="s">
        <v>52</v>
      </c>
      <c r="J43" s="18" t="s">
        <v>40</v>
      </c>
      <c r="K43" s="9" t="s">
        <v>398</v>
      </c>
      <c r="L43" s="9" t="s">
        <v>399</v>
      </c>
      <c r="M43" s="9" t="s">
        <v>400</v>
      </c>
      <c r="N43" s="9" t="s">
        <v>401</v>
      </c>
      <c r="O43" s="9" t="s">
        <v>402</v>
      </c>
      <c r="P43" s="9" t="s">
        <v>403</v>
      </c>
      <c r="Q43" s="8" t="s">
        <v>377</v>
      </c>
      <c r="R43" s="8">
        <v>2</v>
      </c>
      <c r="S43" s="9" t="s">
        <v>217</v>
      </c>
      <c r="T43" s="9" t="s">
        <v>61</v>
      </c>
      <c r="U43" s="3">
        <v>4</v>
      </c>
      <c r="V43" s="3" t="s">
        <v>34</v>
      </c>
      <c r="W43" s="3">
        <v>0</v>
      </c>
      <c r="X43" s="9" t="s">
        <v>404</v>
      </c>
      <c r="Y43" s="8">
        <v>7317677115</v>
      </c>
      <c r="Z43" s="13" t="s">
        <v>405</v>
      </c>
      <c r="AA43" s="56" t="s">
        <v>601</v>
      </c>
      <c r="AB43" s="66" t="s">
        <v>605</v>
      </c>
      <c r="AC43" s="56" t="s">
        <v>605</v>
      </c>
      <c r="AF43" s="119"/>
    </row>
    <row r="44" spans="1:32" x14ac:dyDescent="0.35">
      <c r="A44" s="2">
        <v>43</v>
      </c>
      <c r="B44" s="2" t="s">
        <v>725</v>
      </c>
      <c r="C44" s="3">
        <v>37111</v>
      </c>
      <c r="D44" s="3">
        <v>1252255782</v>
      </c>
      <c r="E44" s="2">
        <v>21265441780</v>
      </c>
      <c r="F44" s="4">
        <v>806505364526</v>
      </c>
      <c r="G44" s="5">
        <v>39814</v>
      </c>
      <c r="H44" s="18" t="s">
        <v>74</v>
      </c>
      <c r="I44" s="18" t="s">
        <v>74</v>
      </c>
      <c r="J44" s="18" t="s">
        <v>40</v>
      </c>
      <c r="K44" s="85" t="s">
        <v>596</v>
      </c>
      <c r="L44" s="7" t="s">
        <v>447</v>
      </c>
      <c r="M44" s="7" t="s">
        <v>448</v>
      </c>
      <c r="N44" s="7" t="s">
        <v>449</v>
      </c>
      <c r="O44" s="7" t="s">
        <v>311</v>
      </c>
      <c r="P44" s="7" t="s">
        <v>312</v>
      </c>
      <c r="Q44" s="8" t="s">
        <v>377</v>
      </c>
      <c r="R44" s="8">
        <v>2</v>
      </c>
      <c r="S44" s="9" t="s">
        <v>450</v>
      </c>
      <c r="T44" s="9" t="s">
        <v>33</v>
      </c>
      <c r="U44" s="3">
        <v>3</v>
      </c>
      <c r="V44" s="3" t="s">
        <v>34</v>
      </c>
      <c r="W44" s="3">
        <v>0</v>
      </c>
      <c r="X44" s="7" t="s">
        <v>451</v>
      </c>
      <c r="Y44" s="8">
        <v>8737996950</v>
      </c>
      <c r="Z44" s="10" t="s">
        <v>452</v>
      </c>
      <c r="AA44" s="57" t="s">
        <v>606</v>
      </c>
      <c r="AB44" s="57"/>
      <c r="AC44" s="65"/>
      <c r="AF44" s="119"/>
    </row>
    <row r="45" spans="1:32" x14ac:dyDescent="0.35">
      <c r="A45" s="2">
        <v>44</v>
      </c>
      <c r="B45" s="2" t="s">
        <v>725</v>
      </c>
      <c r="C45" s="3">
        <v>38962</v>
      </c>
      <c r="D45" s="3">
        <v>1252255799</v>
      </c>
      <c r="E45" s="2">
        <v>21441601748</v>
      </c>
      <c r="F45" s="4">
        <v>261942580872</v>
      </c>
      <c r="G45" s="5">
        <v>40046</v>
      </c>
      <c r="H45" s="9" t="s">
        <v>130</v>
      </c>
      <c r="I45" s="9" t="s">
        <v>97</v>
      </c>
      <c r="J45" s="9" t="s">
        <v>40</v>
      </c>
      <c r="K45" s="84" t="s">
        <v>406</v>
      </c>
      <c r="L45" s="9" t="s">
        <v>407</v>
      </c>
      <c r="M45" s="9" t="s">
        <v>408</v>
      </c>
      <c r="N45" s="9" t="s">
        <v>409</v>
      </c>
      <c r="O45" s="9" t="s">
        <v>410</v>
      </c>
      <c r="P45" s="9" t="s">
        <v>411</v>
      </c>
      <c r="Q45" s="8" t="s">
        <v>377</v>
      </c>
      <c r="R45" s="8">
        <v>2</v>
      </c>
      <c r="S45" s="9" t="s">
        <v>92</v>
      </c>
      <c r="T45" s="9" t="s">
        <v>33</v>
      </c>
      <c r="U45" s="3">
        <v>3</v>
      </c>
      <c r="V45" s="3" t="s">
        <v>34</v>
      </c>
      <c r="W45" s="3">
        <v>0</v>
      </c>
      <c r="X45" s="9" t="s">
        <v>150</v>
      </c>
      <c r="Y45" s="8">
        <v>8960963449</v>
      </c>
      <c r="Z45" s="37" t="s">
        <v>412</v>
      </c>
      <c r="AA45" s="56" t="s">
        <v>606</v>
      </c>
      <c r="AB45" s="66"/>
      <c r="AC45" s="56"/>
      <c r="AF45" s="119"/>
    </row>
    <row r="46" spans="1:32" x14ac:dyDescent="0.35">
      <c r="A46" s="2">
        <v>45</v>
      </c>
      <c r="B46" s="2" t="s">
        <v>725</v>
      </c>
      <c r="C46" s="3">
        <v>37245</v>
      </c>
      <c r="D46" s="3">
        <v>1252255804</v>
      </c>
      <c r="E46" s="2">
        <v>21794768787</v>
      </c>
      <c r="F46" s="4">
        <v>700795306319</v>
      </c>
      <c r="G46" s="5">
        <v>39995</v>
      </c>
      <c r="H46" s="18" t="s">
        <v>74</v>
      </c>
      <c r="I46" s="18" t="s">
        <v>85</v>
      </c>
      <c r="J46" s="18" t="s">
        <v>40</v>
      </c>
      <c r="K46" s="7" t="s">
        <v>413</v>
      </c>
      <c r="L46" s="7" t="s">
        <v>414</v>
      </c>
      <c r="M46" s="7" t="s">
        <v>415</v>
      </c>
      <c r="N46" s="7" t="s">
        <v>416</v>
      </c>
      <c r="O46" s="7" t="s">
        <v>417</v>
      </c>
      <c r="P46" s="7" t="s">
        <v>418</v>
      </c>
      <c r="Q46" s="8" t="s">
        <v>377</v>
      </c>
      <c r="R46" s="8">
        <v>2</v>
      </c>
      <c r="S46" s="9" t="s">
        <v>32</v>
      </c>
      <c r="T46" s="9" t="s">
        <v>33</v>
      </c>
      <c r="U46" s="3">
        <v>3</v>
      </c>
      <c r="V46" s="3" t="s">
        <v>34</v>
      </c>
      <c r="W46" s="3">
        <v>0</v>
      </c>
      <c r="X46" s="7" t="s">
        <v>419</v>
      </c>
      <c r="Y46" s="8">
        <v>9696039630</v>
      </c>
      <c r="Z46" s="10" t="s">
        <v>420</v>
      </c>
      <c r="AA46" s="56" t="s">
        <v>601</v>
      </c>
      <c r="AB46" s="56"/>
      <c r="AC46" s="57"/>
      <c r="AF46" s="119"/>
    </row>
    <row r="47" spans="1:32" x14ac:dyDescent="0.35">
      <c r="A47" s="2">
        <v>46</v>
      </c>
      <c r="B47" s="2" t="s">
        <v>725</v>
      </c>
      <c r="C47" s="3">
        <v>37743</v>
      </c>
      <c r="D47" s="3">
        <v>1252255816</v>
      </c>
      <c r="E47" s="2">
        <v>21762790714</v>
      </c>
      <c r="F47" s="11">
        <v>247366601273</v>
      </c>
      <c r="G47" s="5">
        <v>39746</v>
      </c>
      <c r="H47" s="18" t="s">
        <v>421</v>
      </c>
      <c r="I47" s="18" t="s">
        <v>96</v>
      </c>
      <c r="J47" s="18" t="s">
        <v>24</v>
      </c>
      <c r="K47" s="9" t="s">
        <v>422</v>
      </c>
      <c r="L47" s="9" t="s">
        <v>423</v>
      </c>
      <c r="M47" s="9" t="s">
        <v>424</v>
      </c>
      <c r="N47" s="9" t="s">
        <v>425</v>
      </c>
      <c r="O47" s="9" t="s">
        <v>426</v>
      </c>
      <c r="P47" s="9" t="s">
        <v>427</v>
      </c>
      <c r="Q47" s="8" t="s">
        <v>377</v>
      </c>
      <c r="R47" s="8">
        <v>2</v>
      </c>
      <c r="S47" s="9" t="s">
        <v>428</v>
      </c>
      <c r="T47" s="9" t="s">
        <v>33</v>
      </c>
      <c r="U47" s="3">
        <v>3</v>
      </c>
      <c r="V47" s="3" t="s">
        <v>31</v>
      </c>
      <c r="W47" s="3">
        <v>1</v>
      </c>
      <c r="X47" s="9" t="s">
        <v>150</v>
      </c>
      <c r="Y47" s="8">
        <v>8112876063</v>
      </c>
      <c r="Z47" s="13" t="s">
        <v>429</v>
      </c>
      <c r="AA47" s="56" t="s">
        <v>601</v>
      </c>
      <c r="AB47" s="66" t="s">
        <v>605</v>
      </c>
      <c r="AC47" s="56" t="s">
        <v>605</v>
      </c>
      <c r="AF47" s="119"/>
    </row>
    <row r="48" spans="1:32" x14ac:dyDescent="0.35">
      <c r="A48" s="2">
        <v>47</v>
      </c>
      <c r="B48" s="2" t="s">
        <v>725</v>
      </c>
      <c r="C48" s="3">
        <v>37110</v>
      </c>
      <c r="D48" s="3">
        <v>1252255822</v>
      </c>
      <c r="E48" s="2">
        <v>21787689004</v>
      </c>
      <c r="F48" s="4">
        <v>334745998796</v>
      </c>
      <c r="G48" s="5">
        <v>40388</v>
      </c>
      <c r="H48" s="18" t="s">
        <v>430</v>
      </c>
      <c r="I48" s="18" t="s">
        <v>85</v>
      </c>
      <c r="J48" s="18" t="s">
        <v>162</v>
      </c>
      <c r="K48" s="85" t="s">
        <v>431</v>
      </c>
      <c r="L48" s="7" t="s">
        <v>432</v>
      </c>
      <c r="M48" s="7" t="s">
        <v>433</v>
      </c>
      <c r="N48" s="7" t="s">
        <v>434</v>
      </c>
      <c r="O48" s="7" t="s">
        <v>435</v>
      </c>
      <c r="P48" s="7" t="s">
        <v>436</v>
      </c>
      <c r="Q48" s="8" t="s">
        <v>377</v>
      </c>
      <c r="R48" s="8">
        <v>2</v>
      </c>
      <c r="S48" s="9" t="s">
        <v>217</v>
      </c>
      <c r="T48" s="9" t="s">
        <v>61</v>
      </c>
      <c r="U48" s="3">
        <v>4</v>
      </c>
      <c r="V48" s="3" t="s">
        <v>34</v>
      </c>
      <c r="W48" s="3">
        <v>0</v>
      </c>
      <c r="X48" s="7" t="s">
        <v>437</v>
      </c>
      <c r="Y48" s="38">
        <v>9451527052</v>
      </c>
      <c r="Z48" s="10" t="s">
        <v>438</v>
      </c>
      <c r="AA48" s="56" t="s">
        <v>606</v>
      </c>
      <c r="AB48" s="56"/>
      <c r="AC48" s="57"/>
      <c r="AF48" s="119"/>
    </row>
    <row r="49" spans="1:33" x14ac:dyDescent="0.35">
      <c r="A49" s="2">
        <v>48</v>
      </c>
      <c r="B49" s="2" t="s">
        <v>725</v>
      </c>
      <c r="C49" s="3">
        <v>38999</v>
      </c>
      <c r="D49" s="3">
        <v>1252255829</v>
      </c>
      <c r="E49" s="2">
        <v>21375397775</v>
      </c>
      <c r="F49" s="4">
        <v>289062889375</v>
      </c>
      <c r="G49" s="5">
        <v>40095</v>
      </c>
      <c r="H49" s="9" t="s">
        <v>126</v>
      </c>
      <c r="I49" s="9" t="s">
        <v>96</v>
      </c>
      <c r="J49" s="9" t="s">
        <v>40</v>
      </c>
      <c r="K49" s="21" t="s">
        <v>461</v>
      </c>
      <c r="L49" s="9" t="s">
        <v>462</v>
      </c>
      <c r="M49" s="9" t="s">
        <v>463</v>
      </c>
      <c r="N49" s="9" t="s">
        <v>464</v>
      </c>
      <c r="O49" s="9" t="s">
        <v>465</v>
      </c>
      <c r="P49" s="9" t="s">
        <v>466</v>
      </c>
      <c r="Q49" s="8" t="s">
        <v>377</v>
      </c>
      <c r="R49" s="8">
        <v>2</v>
      </c>
      <c r="S49" s="9" t="s">
        <v>467</v>
      </c>
      <c r="T49" s="9" t="s">
        <v>33</v>
      </c>
      <c r="U49" s="3">
        <v>3</v>
      </c>
      <c r="V49" s="3" t="s">
        <v>34</v>
      </c>
      <c r="W49" s="3">
        <v>0</v>
      </c>
      <c r="X49" s="9" t="s">
        <v>468</v>
      </c>
      <c r="Y49" s="8">
        <v>9569554818</v>
      </c>
      <c r="Z49" s="37" t="s">
        <v>469</v>
      </c>
      <c r="AA49" s="56" t="s">
        <v>602</v>
      </c>
      <c r="AB49" s="88" t="s">
        <v>618</v>
      </c>
      <c r="AC49" s="56" t="s">
        <v>619</v>
      </c>
    </row>
    <row r="50" spans="1:33" x14ac:dyDescent="0.35">
      <c r="A50" s="2">
        <v>49</v>
      </c>
      <c r="B50" s="2" t="s">
        <v>725</v>
      </c>
      <c r="C50" s="3">
        <v>37089</v>
      </c>
      <c r="D50" s="3">
        <v>1252255837</v>
      </c>
      <c r="E50" s="2">
        <v>21286280917</v>
      </c>
      <c r="F50" s="11">
        <v>495350440768</v>
      </c>
      <c r="G50" s="5">
        <v>40374</v>
      </c>
      <c r="H50" s="18" t="s">
        <v>470</v>
      </c>
      <c r="I50" s="18" t="s">
        <v>85</v>
      </c>
      <c r="J50" s="18" t="s">
        <v>162</v>
      </c>
      <c r="K50" s="9" t="s">
        <v>471</v>
      </c>
      <c r="L50" s="9" t="s">
        <v>472</v>
      </c>
      <c r="M50" s="9" t="s">
        <v>473</v>
      </c>
      <c r="N50" s="9" t="s">
        <v>474</v>
      </c>
      <c r="O50" s="9" t="s">
        <v>475</v>
      </c>
      <c r="P50" s="9" t="s">
        <v>476</v>
      </c>
      <c r="Q50" s="8" t="s">
        <v>377</v>
      </c>
      <c r="R50" s="8">
        <v>2</v>
      </c>
      <c r="S50" s="9" t="s">
        <v>477</v>
      </c>
      <c r="T50" s="40" t="s">
        <v>33</v>
      </c>
      <c r="U50" s="3">
        <v>3</v>
      </c>
      <c r="V50" s="3" t="s">
        <v>31</v>
      </c>
      <c r="W50" s="3">
        <v>1</v>
      </c>
      <c r="X50" s="9" t="s">
        <v>478</v>
      </c>
      <c r="Y50" s="8">
        <v>8381973787</v>
      </c>
      <c r="Z50" s="13" t="s">
        <v>479</v>
      </c>
      <c r="AA50" s="56" t="s">
        <v>601</v>
      </c>
      <c r="AB50" s="66" t="s">
        <v>605</v>
      </c>
      <c r="AC50" s="56" t="s">
        <v>605</v>
      </c>
      <c r="AF50" s="119"/>
    </row>
    <row r="51" spans="1:33" x14ac:dyDescent="0.35">
      <c r="A51" s="2">
        <v>50</v>
      </c>
      <c r="B51" s="2" t="s">
        <v>725</v>
      </c>
      <c r="C51" s="3">
        <v>37069</v>
      </c>
      <c r="D51" s="3">
        <v>1252255838</v>
      </c>
      <c r="E51" s="2">
        <v>21521762777</v>
      </c>
      <c r="F51" s="4">
        <v>848876123802</v>
      </c>
      <c r="G51" s="5">
        <v>40096</v>
      </c>
      <c r="H51" s="18" t="s">
        <v>96</v>
      </c>
      <c r="I51" s="18" t="s">
        <v>96</v>
      </c>
      <c r="J51" s="18" t="s">
        <v>40</v>
      </c>
      <c r="K51" s="12" t="s">
        <v>597</v>
      </c>
      <c r="L51" s="7" t="s">
        <v>453</v>
      </c>
      <c r="M51" s="7" t="s">
        <v>454</v>
      </c>
      <c r="N51" s="7" t="s">
        <v>455</v>
      </c>
      <c r="O51" s="7" t="s">
        <v>456</v>
      </c>
      <c r="P51" s="7" t="s">
        <v>457</v>
      </c>
      <c r="Q51" s="8" t="s">
        <v>377</v>
      </c>
      <c r="R51" s="8">
        <v>2</v>
      </c>
      <c r="S51" s="9" t="s">
        <v>458</v>
      </c>
      <c r="T51" s="9" t="s">
        <v>33</v>
      </c>
      <c r="U51" s="3">
        <v>3</v>
      </c>
      <c r="V51" s="3" t="s">
        <v>34</v>
      </c>
      <c r="W51" s="3">
        <v>0</v>
      </c>
      <c r="X51" s="14" t="s">
        <v>459</v>
      </c>
      <c r="Y51" s="39">
        <v>8858162324</v>
      </c>
      <c r="Z51" s="10" t="s">
        <v>460</v>
      </c>
      <c r="AA51" s="56" t="s">
        <v>602</v>
      </c>
      <c r="AB51" s="77" t="s">
        <v>620</v>
      </c>
      <c r="AC51" s="56" t="s">
        <v>621</v>
      </c>
    </row>
    <row r="52" spans="1:33" x14ac:dyDescent="0.35">
      <c r="A52" s="2">
        <v>51</v>
      </c>
      <c r="B52" s="2" t="s">
        <v>725</v>
      </c>
      <c r="C52" s="3">
        <v>37068</v>
      </c>
      <c r="D52" s="3">
        <v>1252255857</v>
      </c>
      <c r="E52" s="2">
        <v>21297929595</v>
      </c>
      <c r="F52" s="4">
        <v>815950656664</v>
      </c>
      <c r="G52" s="5">
        <v>39597</v>
      </c>
      <c r="H52" s="9" t="s">
        <v>430</v>
      </c>
      <c r="I52" s="9" t="s">
        <v>53</v>
      </c>
      <c r="J52" s="9" t="s">
        <v>24</v>
      </c>
      <c r="K52" s="21" t="s">
        <v>480</v>
      </c>
      <c r="L52" s="9" t="s">
        <v>481</v>
      </c>
      <c r="M52" s="9" t="s">
        <v>482</v>
      </c>
      <c r="N52" s="9" t="s">
        <v>483</v>
      </c>
      <c r="O52" s="9" t="s">
        <v>484</v>
      </c>
      <c r="P52" s="9" t="s">
        <v>485</v>
      </c>
      <c r="Q52" s="8" t="s">
        <v>377</v>
      </c>
      <c r="R52" s="8">
        <v>2</v>
      </c>
      <c r="S52" s="9" t="s">
        <v>244</v>
      </c>
      <c r="T52" s="40" t="s">
        <v>61</v>
      </c>
      <c r="U52" s="3">
        <v>4</v>
      </c>
      <c r="V52" s="3" t="s">
        <v>34</v>
      </c>
      <c r="W52" s="3">
        <v>0</v>
      </c>
      <c r="X52" s="9" t="s">
        <v>486</v>
      </c>
      <c r="Y52" s="8">
        <v>8303916454</v>
      </c>
      <c r="Z52" s="37" t="s">
        <v>487</v>
      </c>
      <c r="AA52" s="56" t="s">
        <v>602</v>
      </c>
      <c r="AB52" s="62" t="s">
        <v>622</v>
      </c>
      <c r="AC52" s="56" t="s">
        <v>608</v>
      </c>
    </row>
    <row r="53" spans="1:33" x14ac:dyDescent="0.35">
      <c r="A53" s="2">
        <v>52</v>
      </c>
      <c r="B53" s="2" t="s">
        <v>725</v>
      </c>
      <c r="C53" s="43">
        <v>40144</v>
      </c>
      <c r="D53" s="43">
        <v>1252266896</v>
      </c>
      <c r="E53" s="2">
        <v>21359799341</v>
      </c>
      <c r="F53" s="4">
        <v>717371580770</v>
      </c>
      <c r="G53" s="2" t="s">
        <v>579</v>
      </c>
      <c r="H53" s="9">
        <v>1</v>
      </c>
      <c r="I53" s="9">
        <v>1</v>
      </c>
      <c r="J53" s="9">
        <v>2011</v>
      </c>
      <c r="K53" s="2" t="s">
        <v>580</v>
      </c>
      <c r="L53" s="2" t="s">
        <v>581</v>
      </c>
      <c r="M53" s="2" t="s">
        <v>582</v>
      </c>
      <c r="N53" s="2" t="s">
        <v>583</v>
      </c>
      <c r="O53" s="2" t="s">
        <v>584</v>
      </c>
      <c r="P53" s="2" t="s">
        <v>585</v>
      </c>
      <c r="Q53" s="43" t="s">
        <v>377</v>
      </c>
      <c r="R53" s="43">
        <v>2</v>
      </c>
      <c r="S53" s="2" t="s">
        <v>32</v>
      </c>
      <c r="T53" s="2" t="s">
        <v>33</v>
      </c>
      <c r="U53" s="44">
        <v>3</v>
      </c>
      <c r="V53" s="44" t="s">
        <v>34</v>
      </c>
      <c r="W53" s="44">
        <v>0</v>
      </c>
      <c r="X53" s="2" t="s">
        <v>586</v>
      </c>
      <c r="Y53" s="43">
        <v>8858775589</v>
      </c>
      <c r="Z53" s="2" t="s">
        <v>587</v>
      </c>
      <c r="AA53" s="56" t="s">
        <v>601</v>
      </c>
      <c r="AB53" s="66"/>
      <c r="AC53" s="56"/>
      <c r="AF53" s="119"/>
    </row>
    <row r="54" spans="1:33" x14ac:dyDescent="0.35">
      <c r="A54" s="2">
        <v>53</v>
      </c>
      <c r="B54" s="2" t="s">
        <v>725</v>
      </c>
      <c r="C54" s="3">
        <v>37292</v>
      </c>
      <c r="D54" s="3">
        <v>1252255872</v>
      </c>
      <c r="E54" s="2">
        <v>21701866637</v>
      </c>
      <c r="F54" s="11">
        <v>631002422713</v>
      </c>
      <c r="G54" s="5">
        <v>39898</v>
      </c>
      <c r="H54" s="18" t="s">
        <v>182</v>
      </c>
      <c r="I54" s="18" t="s">
        <v>118</v>
      </c>
      <c r="J54" s="18" t="s">
        <v>40</v>
      </c>
      <c r="K54" s="9" t="s">
        <v>488</v>
      </c>
      <c r="L54" s="9" t="s">
        <v>489</v>
      </c>
      <c r="M54" s="9" t="s">
        <v>490</v>
      </c>
      <c r="N54" s="9" t="s">
        <v>491</v>
      </c>
      <c r="O54" s="9" t="s">
        <v>492</v>
      </c>
      <c r="P54" s="9" t="s">
        <v>493</v>
      </c>
      <c r="Q54" s="8" t="s">
        <v>377</v>
      </c>
      <c r="R54" s="8">
        <v>2</v>
      </c>
      <c r="S54" s="9" t="s">
        <v>494</v>
      </c>
      <c r="T54" s="40" t="s">
        <v>33</v>
      </c>
      <c r="U54" s="3">
        <v>3</v>
      </c>
      <c r="V54" s="3" t="s">
        <v>34</v>
      </c>
      <c r="W54" s="3">
        <v>0</v>
      </c>
      <c r="X54" s="9" t="s">
        <v>495</v>
      </c>
      <c r="Y54" s="8">
        <v>7905616124</v>
      </c>
      <c r="Z54" s="13" t="s">
        <v>496</v>
      </c>
      <c r="AA54" s="56" t="s">
        <v>601</v>
      </c>
      <c r="AB54" s="66"/>
      <c r="AC54" s="56"/>
    </row>
    <row r="55" spans="1:33" x14ac:dyDescent="0.35">
      <c r="A55" s="2">
        <v>54</v>
      </c>
      <c r="B55" s="2" t="s">
        <v>725</v>
      </c>
      <c r="C55" s="3">
        <v>38284</v>
      </c>
      <c r="D55" s="3">
        <v>1252255880</v>
      </c>
      <c r="E55" s="2">
        <v>21469764215</v>
      </c>
      <c r="F55" s="4" t="s">
        <v>497</v>
      </c>
      <c r="G55" s="5">
        <v>40098</v>
      </c>
      <c r="H55" s="9" t="s">
        <v>161</v>
      </c>
      <c r="I55" s="9" t="s">
        <v>96</v>
      </c>
      <c r="J55" s="9" t="s">
        <v>40</v>
      </c>
      <c r="K55" s="9" t="s">
        <v>498</v>
      </c>
      <c r="L55" s="9" t="s">
        <v>499</v>
      </c>
      <c r="M55" s="9" t="s">
        <v>319</v>
      </c>
      <c r="N55" s="9" t="s">
        <v>320</v>
      </c>
      <c r="O55" s="9" t="s">
        <v>500</v>
      </c>
      <c r="P55" s="9" t="s">
        <v>501</v>
      </c>
      <c r="Q55" s="8" t="s">
        <v>377</v>
      </c>
      <c r="R55" s="8">
        <v>2</v>
      </c>
      <c r="S55" s="9" t="s">
        <v>198</v>
      </c>
      <c r="T55" s="40" t="s">
        <v>33</v>
      </c>
      <c r="U55" s="3">
        <v>2</v>
      </c>
      <c r="V55" s="3" t="s">
        <v>34</v>
      </c>
      <c r="W55" s="3">
        <v>0</v>
      </c>
      <c r="X55" s="9" t="s">
        <v>502</v>
      </c>
      <c r="Y55" s="8">
        <v>9956993503</v>
      </c>
      <c r="Z55" s="37" t="s">
        <v>503</v>
      </c>
      <c r="AA55" s="56" t="s">
        <v>601</v>
      </c>
      <c r="AB55" s="66"/>
      <c r="AC55" s="56"/>
      <c r="AF55" s="119"/>
      <c r="AG55" s="119"/>
    </row>
    <row r="56" spans="1:33" x14ac:dyDescent="0.35">
      <c r="A56" s="2">
        <v>55</v>
      </c>
      <c r="B56" s="2" t="s">
        <v>725</v>
      </c>
      <c r="C56" s="3">
        <v>37143</v>
      </c>
      <c r="D56" s="3">
        <v>1252255905</v>
      </c>
      <c r="E56" s="2">
        <v>21479920887</v>
      </c>
      <c r="F56" s="4">
        <v>518610114074</v>
      </c>
      <c r="G56" s="5">
        <v>40005</v>
      </c>
      <c r="H56" s="9" t="s">
        <v>23</v>
      </c>
      <c r="I56" s="9" t="s">
        <v>85</v>
      </c>
      <c r="J56" s="9" t="s">
        <v>40</v>
      </c>
      <c r="K56" s="21" t="s">
        <v>504</v>
      </c>
      <c r="L56" s="9" t="s">
        <v>505</v>
      </c>
      <c r="M56" s="9" t="s">
        <v>506</v>
      </c>
      <c r="N56" s="9" t="s">
        <v>507</v>
      </c>
      <c r="O56" s="9" t="s">
        <v>508</v>
      </c>
      <c r="P56" s="9" t="s">
        <v>509</v>
      </c>
      <c r="Q56" s="8" t="s">
        <v>377</v>
      </c>
      <c r="R56" s="8">
        <v>2</v>
      </c>
      <c r="S56" s="9" t="s">
        <v>510</v>
      </c>
      <c r="T56" s="40" t="s">
        <v>61</v>
      </c>
      <c r="U56" s="3">
        <v>4</v>
      </c>
      <c r="V56" s="3" t="s">
        <v>34</v>
      </c>
      <c r="W56" s="3">
        <v>0</v>
      </c>
      <c r="X56" s="9" t="s">
        <v>511</v>
      </c>
      <c r="Y56" s="8">
        <v>8707559822</v>
      </c>
      <c r="Z56" s="10" t="s">
        <v>512</v>
      </c>
      <c r="AA56" s="56" t="s">
        <v>602</v>
      </c>
      <c r="AB56" s="62" t="s">
        <v>623</v>
      </c>
      <c r="AC56" s="56" t="s">
        <v>614</v>
      </c>
    </row>
    <row r="57" spans="1:33" x14ac:dyDescent="0.35">
      <c r="A57" s="2">
        <v>56</v>
      </c>
      <c r="B57" s="2" t="s">
        <v>725</v>
      </c>
      <c r="C57" s="3">
        <v>38991</v>
      </c>
      <c r="D57" s="3">
        <v>1252255914</v>
      </c>
      <c r="E57" s="2">
        <v>21290492041</v>
      </c>
      <c r="F57" s="4">
        <v>495086044404</v>
      </c>
      <c r="G57" s="5">
        <v>39923</v>
      </c>
      <c r="H57" s="9" t="s">
        <v>152</v>
      </c>
      <c r="I57" s="9" t="s">
        <v>107</v>
      </c>
      <c r="J57" s="9" t="s">
        <v>40</v>
      </c>
      <c r="K57" s="9" t="s">
        <v>513</v>
      </c>
      <c r="L57" s="9" t="s">
        <v>514</v>
      </c>
      <c r="M57" s="9" t="s">
        <v>515</v>
      </c>
      <c r="N57" s="9" t="s">
        <v>516</v>
      </c>
      <c r="O57" s="9" t="s">
        <v>339</v>
      </c>
      <c r="P57" s="9" t="s">
        <v>316</v>
      </c>
      <c r="Q57" s="8" t="s">
        <v>377</v>
      </c>
      <c r="R57" s="8">
        <v>2</v>
      </c>
      <c r="S57" s="9" t="s">
        <v>32</v>
      </c>
      <c r="T57" s="40" t="s">
        <v>33</v>
      </c>
      <c r="U57" s="3">
        <v>3</v>
      </c>
      <c r="V57" s="3" t="s">
        <v>34</v>
      </c>
      <c r="W57" s="3">
        <v>0</v>
      </c>
      <c r="X57" s="9" t="s">
        <v>517</v>
      </c>
      <c r="Y57" s="8">
        <v>7307407965</v>
      </c>
      <c r="Z57" s="35" t="s">
        <v>518</v>
      </c>
      <c r="AA57" s="56" t="s">
        <v>601</v>
      </c>
      <c r="AB57" s="66"/>
      <c r="AC57" s="56"/>
      <c r="AF57" s="119"/>
      <c r="AG57" s="119"/>
    </row>
    <row r="58" spans="1:33" x14ac:dyDescent="0.35">
      <c r="A58" s="2">
        <v>57</v>
      </c>
      <c r="B58" s="2" t="s">
        <v>725</v>
      </c>
      <c r="C58" s="42">
        <v>37124</v>
      </c>
      <c r="D58" s="3">
        <v>1252255921</v>
      </c>
      <c r="E58" s="2">
        <v>21311994236</v>
      </c>
      <c r="F58" s="4">
        <v>925570151786</v>
      </c>
      <c r="G58" s="5">
        <v>40153</v>
      </c>
      <c r="H58" s="9" t="s">
        <v>52</v>
      </c>
      <c r="I58" s="9" t="s">
        <v>161</v>
      </c>
      <c r="J58" s="9" t="s">
        <v>40</v>
      </c>
      <c r="K58" s="21" t="s">
        <v>540</v>
      </c>
      <c r="L58" s="9" t="s">
        <v>541</v>
      </c>
      <c r="M58" s="9" t="s">
        <v>542</v>
      </c>
      <c r="N58" s="9" t="s">
        <v>543</v>
      </c>
      <c r="O58" s="9" t="s">
        <v>544</v>
      </c>
      <c r="P58" s="9" t="s">
        <v>545</v>
      </c>
      <c r="Q58" s="8" t="s">
        <v>377</v>
      </c>
      <c r="R58" s="8">
        <v>2</v>
      </c>
      <c r="S58" s="9" t="s">
        <v>244</v>
      </c>
      <c r="T58" s="9" t="s">
        <v>61</v>
      </c>
      <c r="U58" s="3">
        <v>4</v>
      </c>
      <c r="V58" s="3" t="s">
        <v>34</v>
      </c>
      <c r="W58" s="3">
        <v>0</v>
      </c>
      <c r="X58" s="9" t="s">
        <v>546</v>
      </c>
      <c r="Y58" s="8">
        <v>8756032421</v>
      </c>
      <c r="Z58" s="37" t="s">
        <v>547</v>
      </c>
      <c r="AA58" s="56" t="s">
        <v>602</v>
      </c>
      <c r="AB58" s="62" t="s">
        <v>624</v>
      </c>
      <c r="AC58" s="56" t="s">
        <v>614</v>
      </c>
    </row>
    <row r="59" spans="1:33" x14ac:dyDescent="0.35">
      <c r="A59" s="2">
        <v>58</v>
      </c>
      <c r="B59" s="2" t="s">
        <v>725</v>
      </c>
      <c r="C59" s="3">
        <v>37113</v>
      </c>
      <c r="D59" s="3">
        <v>1252255924</v>
      </c>
      <c r="E59" s="2">
        <v>21628227709</v>
      </c>
      <c r="F59" s="4">
        <v>391455045476</v>
      </c>
      <c r="G59" s="5">
        <v>40155</v>
      </c>
      <c r="H59" s="9" t="s">
        <v>97</v>
      </c>
      <c r="I59" s="9" t="s">
        <v>161</v>
      </c>
      <c r="J59" s="9" t="s">
        <v>40</v>
      </c>
      <c r="K59" s="85" t="s">
        <v>519</v>
      </c>
      <c r="L59" s="9" t="s">
        <v>520</v>
      </c>
      <c r="M59" s="9" t="s">
        <v>521</v>
      </c>
      <c r="N59" s="9" t="s">
        <v>522</v>
      </c>
      <c r="O59" s="9" t="s">
        <v>339</v>
      </c>
      <c r="P59" s="9" t="s">
        <v>316</v>
      </c>
      <c r="Q59" s="8" t="s">
        <v>377</v>
      </c>
      <c r="R59" s="8">
        <v>2</v>
      </c>
      <c r="S59" s="9" t="s">
        <v>32</v>
      </c>
      <c r="T59" s="9" t="s">
        <v>33</v>
      </c>
      <c r="U59" s="3">
        <v>3</v>
      </c>
      <c r="V59" s="3" t="s">
        <v>34</v>
      </c>
      <c r="W59" s="3">
        <v>0</v>
      </c>
      <c r="X59" s="9" t="s">
        <v>523</v>
      </c>
      <c r="Y59" s="8">
        <v>9598793218</v>
      </c>
      <c r="Z59" s="37" t="s">
        <v>524</v>
      </c>
      <c r="AA59" s="56" t="s">
        <v>606</v>
      </c>
      <c r="AB59" s="62"/>
      <c r="AC59" s="56"/>
      <c r="AF59" s="119"/>
    </row>
    <row r="60" spans="1:33" x14ac:dyDescent="0.35">
      <c r="A60" s="2">
        <v>59</v>
      </c>
      <c r="B60" s="2" t="s">
        <v>725</v>
      </c>
      <c r="C60" s="3">
        <v>38941</v>
      </c>
      <c r="D60" s="3">
        <v>1252255930</v>
      </c>
      <c r="E60" s="2">
        <v>23103967524</v>
      </c>
      <c r="F60" s="11">
        <v>385036541990</v>
      </c>
      <c r="G60" s="5">
        <v>40504</v>
      </c>
      <c r="H60" s="18" t="s">
        <v>160</v>
      </c>
      <c r="I60" s="18" t="s">
        <v>23</v>
      </c>
      <c r="J60" s="18" t="s">
        <v>162</v>
      </c>
      <c r="K60" s="9" t="s">
        <v>525</v>
      </c>
      <c r="L60" s="9" t="s">
        <v>526</v>
      </c>
      <c r="M60" s="9" t="s">
        <v>527</v>
      </c>
      <c r="N60" s="9" t="s">
        <v>528</v>
      </c>
      <c r="O60" s="9" t="s">
        <v>529</v>
      </c>
      <c r="P60" s="9" t="s">
        <v>530</v>
      </c>
      <c r="Q60" s="8" t="s">
        <v>377</v>
      </c>
      <c r="R60" s="8">
        <v>2</v>
      </c>
      <c r="S60" s="9" t="s">
        <v>47</v>
      </c>
      <c r="T60" s="9" t="s">
        <v>48</v>
      </c>
      <c r="U60" s="3">
        <v>1</v>
      </c>
      <c r="V60" s="3" t="s">
        <v>34</v>
      </c>
      <c r="W60" s="3">
        <v>0</v>
      </c>
      <c r="X60" s="9" t="s">
        <v>531</v>
      </c>
      <c r="Y60" s="8">
        <v>9838999245</v>
      </c>
      <c r="Z60" s="13" t="s">
        <v>532</v>
      </c>
      <c r="AA60" s="56" t="s">
        <v>601</v>
      </c>
      <c r="AB60" s="66" t="s">
        <v>605</v>
      </c>
      <c r="AC60" s="56" t="s">
        <v>605</v>
      </c>
      <c r="AF60" s="119"/>
    </row>
    <row r="61" spans="1:33" x14ac:dyDescent="0.35">
      <c r="A61" s="2">
        <v>60</v>
      </c>
      <c r="B61" s="2" t="s">
        <v>725</v>
      </c>
      <c r="C61" s="3">
        <v>37293</v>
      </c>
      <c r="D61" s="3">
        <v>1252255939</v>
      </c>
      <c r="E61" s="2">
        <v>21283907958</v>
      </c>
      <c r="F61" s="41">
        <v>430857033624</v>
      </c>
      <c r="G61" s="5">
        <v>39971</v>
      </c>
      <c r="H61" s="9" t="s">
        <v>85</v>
      </c>
      <c r="I61" s="9" t="s">
        <v>52</v>
      </c>
      <c r="J61" s="9" t="s">
        <v>40</v>
      </c>
      <c r="K61" s="9" t="s">
        <v>533</v>
      </c>
      <c r="L61" s="9" t="s">
        <v>534</v>
      </c>
      <c r="M61" s="9" t="s">
        <v>535</v>
      </c>
      <c r="N61" s="9" t="s">
        <v>536</v>
      </c>
      <c r="O61" s="9" t="s">
        <v>537</v>
      </c>
      <c r="P61" s="9" t="s">
        <v>538</v>
      </c>
      <c r="Q61" s="8" t="s">
        <v>377</v>
      </c>
      <c r="R61" s="8">
        <v>2</v>
      </c>
      <c r="S61" s="9" t="s">
        <v>428</v>
      </c>
      <c r="T61" s="9" t="s">
        <v>33</v>
      </c>
      <c r="U61" s="3">
        <v>3</v>
      </c>
      <c r="V61" s="3" t="s">
        <v>31</v>
      </c>
      <c r="W61" s="3">
        <v>1</v>
      </c>
      <c r="X61" s="9" t="s">
        <v>150</v>
      </c>
      <c r="Y61" s="8">
        <v>9250040459</v>
      </c>
      <c r="Z61" s="37" t="s">
        <v>539</v>
      </c>
      <c r="AA61" s="56" t="s">
        <v>601</v>
      </c>
      <c r="AB61" s="66"/>
      <c r="AC61" s="56"/>
      <c r="AF61" s="119"/>
    </row>
    <row r="62" spans="1:33" x14ac:dyDescent="0.35">
      <c r="A62" s="2">
        <v>61</v>
      </c>
      <c r="B62" s="2" t="s">
        <v>725</v>
      </c>
      <c r="C62" s="3">
        <v>37246</v>
      </c>
      <c r="D62" s="3">
        <v>1252255943</v>
      </c>
      <c r="E62" s="2">
        <v>21695709956</v>
      </c>
      <c r="F62" s="4">
        <v>284991701697</v>
      </c>
      <c r="G62" s="5">
        <v>40209</v>
      </c>
      <c r="H62" s="9" t="s">
        <v>139</v>
      </c>
      <c r="I62" s="9" t="s">
        <v>74</v>
      </c>
      <c r="J62" s="9" t="s">
        <v>162</v>
      </c>
      <c r="K62" s="9" t="s">
        <v>556</v>
      </c>
      <c r="L62" s="9" t="s">
        <v>557</v>
      </c>
      <c r="M62" s="9" t="s">
        <v>558</v>
      </c>
      <c r="N62" s="9" t="s">
        <v>559</v>
      </c>
      <c r="O62" s="9" t="s">
        <v>560</v>
      </c>
      <c r="P62" s="9" t="s">
        <v>561</v>
      </c>
      <c r="Q62" s="8" t="s">
        <v>377</v>
      </c>
      <c r="R62" s="8">
        <v>2</v>
      </c>
      <c r="S62" s="9" t="s">
        <v>32</v>
      </c>
      <c r="T62" s="9" t="s">
        <v>33</v>
      </c>
      <c r="U62" s="3">
        <v>3</v>
      </c>
      <c r="V62" s="3" t="s">
        <v>34</v>
      </c>
      <c r="W62" s="3">
        <v>0</v>
      </c>
      <c r="X62" s="9" t="s">
        <v>150</v>
      </c>
      <c r="Y62" s="8">
        <v>9450361868</v>
      </c>
      <c r="Z62" s="37" t="s">
        <v>562</v>
      </c>
      <c r="AA62" s="56" t="s">
        <v>601</v>
      </c>
      <c r="AB62" s="66"/>
      <c r="AC62" s="56"/>
      <c r="AF62" s="119"/>
    </row>
    <row r="63" spans="1:33" x14ac:dyDescent="0.35">
      <c r="A63" s="2">
        <v>62</v>
      </c>
      <c r="B63" s="2" t="s">
        <v>725</v>
      </c>
      <c r="C63" s="3">
        <v>37072</v>
      </c>
      <c r="D63" s="3">
        <v>1252255945</v>
      </c>
      <c r="E63" s="2">
        <v>21273214630</v>
      </c>
      <c r="F63" s="4">
        <v>310773766768</v>
      </c>
      <c r="G63" s="5">
        <v>40003</v>
      </c>
      <c r="H63" s="9" t="s">
        <v>126</v>
      </c>
      <c r="I63" s="9" t="s">
        <v>85</v>
      </c>
      <c r="J63" s="9" t="s">
        <v>40</v>
      </c>
      <c r="K63" s="9" t="s">
        <v>548</v>
      </c>
      <c r="L63" s="9" t="s">
        <v>549</v>
      </c>
      <c r="M63" s="9" t="s">
        <v>550</v>
      </c>
      <c r="N63" s="9" t="s">
        <v>551</v>
      </c>
      <c r="O63" s="9" t="s">
        <v>552</v>
      </c>
      <c r="P63" s="9" t="s">
        <v>553</v>
      </c>
      <c r="Q63" s="8" t="s">
        <v>377</v>
      </c>
      <c r="R63" s="8">
        <v>2</v>
      </c>
      <c r="S63" s="9" t="s">
        <v>428</v>
      </c>
      <c r="T63" s="9" t="s">
        <v>33</v>
      </c>
      <c r="U63" s="3">
        <v>3</v>
      </c>
      <c r="V63" s="3" t="s">
        <v>31</v>
      </c>
      <c r="W63" s="3">
        <v>1</v>
      </c>
      <c r="X63" s="9" t="s">
        <v>554</v>
      </c>
      <c r="Y63" s="8">
        <v>8318344674</v>
      </c>
      <c r="Z63" s="10" t="s">
        <v>555</v>
      </c>
      <c r="AA63" s="56" t="s">
        <v>601</v>
      </c>
      <c r="AB63" s="66"/>
      <c r="AC63" s="56"/>
      <c r="AF63" s="119"/>
    </row>
    <row r="64" spans="1:33" x14ac:dyDescent="0.35">
      <c r="A64" s="2">
        <v>63</v>
      </c>
      <c r="B64" s="2" t="s">
        <v>725</v>
      </c>
      <c r="C64" s="3">
        <v>37118</v>
      </c>
      <c r="D64" s="3">
        <v>1252255949</v>
      </c>
      <c r="E64" s="2">
        <v>21242529423</v>
      </c>
      <c r="F64" s="4">
        <v>361855043685</v>
      </c>
      <c r="G64" s="5">
        <v>39642</v>
      </c>
      <c r="H64" s="9" t="s">
        <v>287</v>
      </c>
      <c r="I64" s="9" t="s">
        <v>85</v>
      </c>
      <c r="J64" s="9" t="s">
        <v>24</v>
      </c>
      <c r="K64" s="9" t="s">
        <v>563</v>
      </c>
      <c r="L64" s="9" t="s">
        <v>564</v>
      </c>
      <c r="M64" s="9" t="s">
        <v>565</v>
      </c>
      <c r="N64" s="9" t="s">
        <v>566</v>
      </c>
      <c r="O64" s="9" t="s">
        <v>567</v>
      </c>
      <c r="P64" s="9" t="s">
        <v>568</v>
      </c>
      <c r="Q64" s="8" t="s">
        <v>377</v>
      </c>
      <c r="R64" s="8">
        <v>2</v>
      </c>
      <c r="S64" s="9" t="s">
        <v>428</v>
      </c>
      <c r="T64" s="9" t="s">
        <v>33</v>
      </c>
      <c r="U64" s="3">
        <v>3</v>
      </c>
      <c r="V64" s="3" t="s">
        <v>31</v>
      </c>
      <c r="W64" s="3">
        <v>1</v>
      </c>
      <c r="X64" s="9" t="s">
        <v>569</v>
      </c>
      <c r="Y64" s="8">
        <v>8081238677</v>
      </c>
      <c r="Z64" s="10" t="s">
        <v>570</v>
      </c>
      <c r="AA64" s="56" t="s">
        <v>601</v>
      </c>
      <c r="AB64" s="66"/>
      <c r="AC64" s="56"/>
      <c r="AF64" s="119"/>
    </row>
    <row r="65" spans="17:29" x14ac:dyDescent="0.35">
      <c r="AA65" s="78"/>
      <c r="AB65" s="78"/>
      <c r="AC65" s="79"/>
    </row>
    <row r="66" spans="17:29" x14ac:dyDescent="0.35">
      <c r="AA66" s="80"/>
      <c r="AB66" s="80"/>
      <c r="AC66" s="80"/>
    </row>
    <row r="67" spans="17:29" x14ac:dyDescent="0.35"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80"/>
      <c r="AB67" s="80"/>
      <c r="AC67" s="80"/>
    </row>
    <row r="68" spans="17:29" x14ac:dyDescent="0.35"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80"/>
      <c r="AB68" s="80"/>
      <c r="AC68" s="80"/>
    </row>
    <row r="69" spans="17:29" x14ac:dyDescent="0.35"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80"/>
      <c r="AB69" s="80"/>
      <c r="AC69" s="80"/>
    </row>
  </sheetData>
  <autoFilter ref="A1:AC65"/>
  <sortState ref="A3:AC72">
    <sortCondition ref="A3:A72"/>
  </sortState>
  <dataConsolidate/>
  <hyperlinks>
    <hyperlink ref="Z2" r:id="rId1"/>
    <hyperlink ref="Z19" r:id="rId2"/>
    <hyperlink ref="Z20" r:id="rId3"/>
    <hyperlink ref="Z25" r:id="rId4"/>
    <hyperlink ref="Z27" r:id="rId5"/>
    <hyperlink ref="Z32" r:id="rId6"/>
    <hyperlink ref="Z41" r:id="rId7"/>
    <hyperlink ref="Z42" r:id="rId8"/>
    <hyperlink ref="Z46" r:id="rId9"/>
    <hyperlink ref="Z48" r:id="rId10"/>
    <hyperlink ref="Z38" r:id="rId11"/>
    <hyperlink ref="Z44" r:id="rId12"/>
    <hyperlink ref="Z51" r:id="rId13"/>
    <hyperlink ref="Z45" r:id="rId14"/>
    <hyperlink ref="Z49" r:id="rId15"/>
    <hyperlink ref="Z52" r:id="rId16"/>
    <hyperlink ref="Z54" r:id="rId17"/>
    <hyperlink ref="Z55" r:id="rId18"/>
    <hyperlink ref="Z56" r:id="rId19"/>
    <hyperlink ref="Z57" r:id="rId20"/>
    <hyperlink ref="Z59" r:id="rId21"/>
    <hyperlink ref="Z61" r:id="rId22"/>
    <hyperlink ref="Z62" r:id="rId23"/>
    <hyperlink ref="Z63" r:id="rId24"/>
    <hyperlink ref="Z64" r:id="rId25"/>
    <hyperlink ref="Z13" r:id="rId26"/>
    <hyperlink ref="Z16" r:id="rId27"/>
    <hyperlink ref="Z7" r:id="rId28"/>
    <hyperlink ref="Z10" r:id="rId29"/>
    <hyperlink ref="Z21" r:id="rId30"/>
    <hyperlink ref="Z22" r:id="rId31"/>
    <hyperlink ref="Z24" r:id="rId32"/>
    <hyperlink ref="Z28" r:id="rId33"/>
    <hyperlink ref="Z29" r:id="rId34"/>
    <hyperlink ref="Z31" r:id="rId35"/>
    <hyperlink ref="Z33" r:id="rId36"/>
    <hyperlink ref="Z34" r:id="rId37"/>
    <hyperlink ref="Z35" r:id="rId38"/>
    <hyperlink ref="Z39" r:id="rId39"/>
    <hyperlink ref="Z43" r:id="rId40"/>
    <hyperlink ref="Z47" r:id="rId41"/>
    <hyperlink ref="Z50" r:id="rId42"/>
    <hyperlink ref="Z60" r:id="rId43"/>
    <hyperlink ref="Z37" r:id="rId44"/>
    <hyperlink ref="Z30" r:id="rId45"/>
    <hyperlink ref="Z26" r:id="rId46"/>
    <hyperlink ref="Z40" r:id="rId47"/>
    <hyperlink ref="Z12" r:id="rId48"/>
    <hyperlink ref="Z4" r:id="rId49"/>
    <hyperlink ref="Z3" r:id="rId50"/>
    <hyperlink ref="Z23" r:id="rId51"/>
    <hyperlink ref="Z58" r:id="rId52"/>
    <hyperlink ref="Z9" r:id="rId53"/>
    <hyperlink ref="Z36" r:id="rId54"/>
    <hyperlink ref="Z53" r:id="rId55"/>
    <hyperlink ref="Z15" r:id="rId56"/>
    <hyperlink ref="Z17" r:id="rId57"/>
    <hyperlink ref="Z11" r:id="rId58"/>
  </hyperlinks>
  <pageMargins left="0.25" right="0.25" top="0.75" bottom="0.75" header="0.3" footer="0.3"/>
  <pageSetup paperSize="9" scale="64" pageOrder="overThenDown" orientation="landscape" r:id="rId59"/>
  <rowBreaks count="1" manualBreakCount="1">
    <brk id="34" max="27" man="1"/>
  </rowBreaks>
  <colBreaks count="1" manualBreakCount="1">
    <brk id="16" max="7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2"/>
  <sheetViews>
    <sheetView workbookViewId="0">
      <selection activeCell="B9" sqref="B9"/>
    </sheetView>
  </sheetViews>
  <sheetFormatPr defaultRowHeight="14.5" x14ac:dyDescent="0.35"/>
  <cols>
    <col min="2" max="2" width="48.453125" bestFit="1" customWidth="1"/>
    <col min="3" max="3" width="70.26953125" customWidth="1"/>
  </cols>
  <sheetData>
    <row r="2" spans="2:3" x14ac:dyDescent="0.35">
      <c r="B2" s="118" t="s">
        <v>635</v>
      </c>
      <c r="C2" s="118" t="s">
        <v>636</v>
      </c>
    </row>
    <row r="3" spans="2:3" x14ac:dyDescent="0.35">
      <c r="B3" s="116" t="s">
        <v>637</v>
      </c>
      <c r="C3" s="117" t="s">
        <v>638</v>
      </c>
    </row>
    <row r="4" spans="2:3" x14ac:dyDescent="0.35">
      <c r="B4" s="116" t="s">
        <v>639</v>
      </c>
      <c r="C4" s="117" t="s">
        <v>640</v>
      </c>
    </row>
    <row r="5" spans="2:3" x14ac:dyDescent="0.35">
      <c r="B5" s="116" t="s">
        <v>641</v>
      </c>
      <c r="C5" s="117" t="s">
        <v>642</v>
      </c>
    </row>
    <row r="6" spans="2:3" x14ac:dyDescent="0.35">
      <c r="B6" s="116" t="s">
        <v>643</v>
      </c>
      <c r="C6" s="117" t="s">
        <v>644</v>
      </c>
    </row>
    <row r="7" spans="2:3" x14ac:dyDescent="0.35">
      <c r="B7" s="116" t="s">
        <v>645</v>
      </c>
      <c r="C7" s="117" t="s">
        <v>646</v>
      </c>
    </row>
    <row r="8" spans="2:3" x14ac:dyDescent="0.35">
      <c r="B8" s="116" t="s">
        <v>647</v>
      </c>
      <c r="C8" s="117" t="s">
        <v>648</v>
      </c>
    </row>
    <row r="9" spans="2:3" x14ac:dyDescent="0.35">
      <c r="B9" s="116" t="s">
        <v>649</v>
      </c>
      <c r="C9" s="117" t="s">
        <v>650</v>
      </c>
    </row>
    <row r="10" spans="2:3" x14ac:dyDescent="0.35">
      <c r="B10" s="116" t="s">
        <v>651</v>
      </c>
      <c r="C10" s="117" t="s">
        <v>652</v>
      </c>
    </row>
    <row r="11" spans="2:3" x14ac:dyDescent="0.35">
      <c r="B11" s="116" t="s">
        <v>653</v>
      </c>
      <c r="C11" s="117" t="s">
        <v>654</v>
      </c>
    </row>
    <row r="12" spans="2:3" ht="29" x14ac:dyDescent="0.35">
      <c r="B12" s="116" t="s">
        <v>655</v>
      </c>
      <c r="C12" s="117" t="s">
        <v>656</v>
      </c>
    </row>
    <row r="13" spans="2:3" ht="30.75" customHeight="1" x14ac:dyDescent="0.35">
      <c r="B13" s="116" t="s">
        <v>657</v>
      </c>
      <c r="C13" s="117" t="s">
        <v>658</v>
      </c>
    </row>
    <row r="14" spans="2:3" ht="30.75" customHeight="1" x14ac:dyDescent="0.35">
      <c r="B14" s="116" t="s">
        <v>659</v>
      </c>
      <c r="C14" s="117" t="s">
        <v>660</v>
      </c>
    </row>
    <row r="15" spans="2:3" ht="30.75" customHeight="1" x14ac:dyDescent="0.35">
      <c r="B15" s="116" t="s">
        <v>661</v>
      </c>
      <c r="C15" s="117" t="s">
        <v>662</v>
      </c>
    </row>
    <row r="16" spans="2:3" ht="30.75" customHeight="1" x14ac:dyDescent="0.35">
      <c r="B16" s="116" t="s">
        <v>663</v>
      </c>
      <c r="C16" s="117" t="s">
        <v>664</v>
      </c>
    </row>
    <row r="17" spans="2:3" ht="30.75" customHeight="1" x14ac:dyDescent="0.35">
      <c r="B17" s="116" t="s">
        <v>665</v>
      </c>
      <c r="C17" s="117" t="s">
        <v>666</v>
      </c>
    </row>
    <row r="18" spans="2:3" ht="30.75" customHeight="1" x14ac:dyDescent="0.35">
      <c r="B18" s="116" t="s">
        <v>667</v>
      </c>
      <c r="C18" s="117" t="s">
        <v>668</v>
      </c>
    </row>
    <row r="19" spans="2:3" ht="30.75" customHeight="1" x14ac:dyDescent="0.35">
      <c r="B19" s="116" t="s">
        <v>669</v>
      </c>
      <c r="C19" s="117" t="s">
        <v>670</v>
      </c>
    </row>
    <row r="20" spans="2:3" ht="30.75" customHeight="1" x14ac:dyDescent="0.35">
      <c r="B20" s="116" t="s">
        <v>671</v>
      </c>
      <c r="C20" s="117" t="s">
        <v>672</v>
      </c>
    </row>
    <row r="21" spans="2:3" ht="30.75" customHeight="1" x14ac:dyDescent="0.35">
      <c r="B21" s="116" t="s">
        <v>673</v>
      </c>
      <c r="C21" s="117" t="s">
        <v>674</v>
      </c>
    </row>
    <row r="22" spans="2:3" ht="30.75" customHeight="1" x14ac:dyDescent="0.35">
      <c r="B22" s="116" t="s">
        <v>675</v>
      </c>
      <c r="C22" s="117" t="s">
        <v>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24"/>
  <sheetViews>
    <sheetView topLeftCell="A7" zoomScale="175" zoomScaleNormal="175" workbookViewId="0">
      <selection activeCell="D12" sqref="D12"/>
    </sheetView>
  </sheetViews>
  <sheetFormatPr defaultRowHeight="14.5" x14ac:dyDescent="0.35"/>
  <cols>
    <col min="2" max="2" width="3" bestFit="1" customWidth="1"/>
    <col min="3" max="3" width="45.7265625" customWidth="1"/>
    <col min="4" max="4" width="56.81640625" customWidth="1"/>
  </cols>
  <sheetData>
    <row r="4" spans="2:4" x14ac:dyDescent="0.35">
      <c r="B4" s="113" t="s">
        <v>677</v>
      </c>
      <c r="C4" s="113" t="s">
        <v>635</v>
      </c>
      <c r="D4" s="113" t="s">
        <v>678</v>
      </c>
    </row>
    <row r="5" spans="2:4" x14ac:dyDescent="0.35">
      <c r="B5" s="114">
        <v>1</v>
      </c>
      <c r="C5" s="115" t="s">
        <v>679</v>
      </c>
      <c r="D5" s="125" t="s">
        <v>717</v>
      </c>
    </row>
    <row r="6" spans="2:4" x14ac:dyDescent="0.35">
      <c r="B6" s="114">
        <v>2</v>
      </c>
      <c r="C6" s="115" t="s">
        <v>680</v>
      </c>
      <c r="D6" s="125"/>
    </row>
    <row r="7" spans="2:4" x14ac:dyDescent="0.35">
      <c r="B7" s="114">
        <v>3</v>
      </c>
      <c r="C7" s="115" t="s">
        <v>681</v>
      </c>
      <c r="D7" s="114" t="s">
        <v>682</v>
      </c>
    </row>
    <row r="8" spans="2:4" x14ac:dyDescent="0.35">
      <c r="B8" s="114">
        <v>4</v>
      </c>
      <c r="C8" s="115" t="s">
        <v>683</v>
      </c>
      <c r="D8" s="114" t="s">
        <v>684</v>
      </c>
    </row>
    <row r="9" spans="2:4" x14ac:dyDescent="0.35">
      <c r="B9" s="114">
        <v>5</v>
      </c>
      <c r="C9" s="115" t="s">
        <v>685</v>
      </c>
      <c r="D9" s="114" t="s">
        <v>686</v>
      </c>
    </row>
    <row r="10" spans="2:4" x14ac:dyDescent="0.35">
      <c r="B10" s="114">
        <v>6</v>
      </c>
      <c r="C10" s="115" t="s">
        <v>687</v>
      </c>
      <c r="D10" s="114" t="s">
        <v>688</v>
      </c>
    </row>
    <row r="11" spans="2:4" x14ac:dyDescent="0.35">
      <c r="B11" s="114">
        <v>7</v>
      </c>
      <c r="C11" s="115" t="s">
        <v>689</v>
      </c>
      <c r="D11" s="114" t="s">
        <v>690</v>
      </c>
    </row>
    <row r="12" spans="2:4" x14ac:dyDescent="0.35">
      <c r="B12" s="114">
        <v>8</v>
      </c>
      <c r="C12" s="115" t="s">
        <v>691</v>
      </c>
      <c r="D12" s="114" t="s">
        <v>692</v>
      </c>
    </row>
    <row r="13" spans="2:4" x14ac:dyDescent="0.35">
      <c r="B13" s="114">
        <v>9</v>
      </c>
      <c r="C13" s="115" t="s">
        <v>693</v>
      </c>
      <c r="D13" s="114" t="s">
        <v>694</v>
      </c>
    </row>
    <row r="14" spans="2:4" ht="29" x14ac:dyDescent="0.35">
      <c r="B14" s="114">
        <v>10</v>
      </c>
      <c r="C14" s="115" t="s">
        <v>695</v>
      </c>
      <c r="D14" s="114" t="s">
        <v>696</v>
      </c>
    </row>
    <row r="15" spans="2:4" x14ac:dyDescent="0.35">
      <c r="B15" s="114">
        <v>11</v>
      </c>
      <c r="C15" s="115" t="s">
        <v>697</v>
      </c>
      <c r="D15" s="114" t="s">
        <v>698</v>
      </c>
    </row>
    <row r="16" spans="2:4" x14ac:dyDescent="0.35">
      <c r="B16" s="114">
        <v>12</v>
      </c>
      <c r="C16" s="115" t="s">
        <v>699</v>
      </c>
      <c r="D16" s="114" t="s">
        <v>700</v>
      </c>
    </row>
    <row r="17" spans="2:4" ht="29" x14ac:dyDescent="0.35">
      <c r="B17" s="114">
        <v>13</v>
      </c>
      <c r="C17" s="115" t="s">
        <v>701</v>
      </c>
      <c r="D17" s="114" t="s">
        <v>702</v>
      </c>
    </row>
    <row r="18" spans="2:4" x14ac:dyDescent="0.35">
      <c r="B18" s="114">
        <v>14</v>
      </c>
      <c r="C18" s="115" t="s">
        <v>703</v>
      </c>
      <c r="D18" s="114" t="s">
        <v>704</v>
      </c>
    </row>
    <row r="19" spans="2:4" x14ac:dyDescent="0.35">
      <c r="B19" s="114">
        <v>15</v>
      </c>
      <c r="C19" s="115" t="s">
        <v>705</v>
      </c>
      <c r="D19" s="114" t="s">
        <v>706</v>
      </c>
    </row>
    <row r="20" spans="2:4" x14ac:dyDescent="0.35">
      <c r="B20" s="114">
        <v>16</v>
      </c>
      <c r="C20" s="115" t="s">
        <v>707</v>
      </c>
      <c r="D20" s="114" t="s">
        <v>708</v>
      </c>
    </row>
    <row r="21" spans="2:4" x14ac:dyDescent="0.35">
      <c r="B21" s="114">
        <v>17</v>
      </c>
      <c r="C21" s="115" t="s">
        <v>709</v>
      </c>
      <c r="D21" s="114" t="s">
        <v>710</v>
      </c>
    </row>
    <row r="22" spans="2:4" ht="29" x14ac:dyDescent="0.35">
      <c r="B22" s="114">
        <v>18</v>
      </c>
      <c r="C22" s="115" t="s">
        <v>711</v>
      </c>
      <c r="D22" s="115" t="s">
        <v>712</v>
      </c>
    </row>
    <row r="23" spans="2:4" x14ac:dyDescent="0.35">
      <c r="B23" s="114">
        <v>19</v>
      </c>
      <c r="C23" s="115" t="s">
        <v>713</v>
      </c>
      <c r="D23" s="115" t="s">
        <v>714</v>
      </c>
    </row>
    <row r="24" spans="2:4" ht="29" x14ac:dyDescent="0.35">
      <c r="B24" s="114">
        <v>20</v>
      </c>
      <c r="C24" s="115" t="s">
        <v>715</v>
      </c>
      <c r="D24" s="115" t="s">
        <v>716</v>
      </c>
    </row>
  </sheetData>
  <mergeCells count="1"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8"/>
  <sheetViews>
    <sheetView zoomScaleNormal="100" workbookViewId="0">
      <selection activeCell="C2" sqref="C2"/>
    </sheetView>
  </sheetViews>
  <sheetFormatPr defaultRowHeight="14.5" x14ac:dyDescent="0.35"/>
  <cols>
    <col min="2" max="2" width="30" style="55" customWidth="1"/>
    <col min="3" max="3" width="61.1796875" customWidth="1"/>
    <col min="5" max="5" width="17" bestFit="1" customWidth="1"/>
    <col min="6" max="6" width="17.81640625" customWidth="1"/>
    <col min="8" max="8" width="8.81640625" customWidth="1"/>
    <col min="9" max="9" width="9.7265625" customWidth="1"/>
    <col min="10" max="15" width="5" customWidth="1"/>
  </cols>
  <sheetData>
    <row r="1" spans="2:16" ht="23.5" x14ac:dyDescent="0.55000000000000004">
      <c r="B1" s="54" t="s">
        <v>593</v>
      </c>
      <c r="C1" s="46">
        <v>7</v>
      </c>
    </row>
    <row r="2" spans="2:16" ht="18.5" x14ac:dyDescent="0.45">
      <c r="B2" s="47" t="s">
        <v>9</v>
      </c>
      <c r="C2" s="48" t="str">
        <f>VLOOKUP($C$1,'Sheet1 (5)'!A1:Z64,11,0)</f>
        <v>ANMOL KUMAR</v>
      </c>
      <c r="E2" s="81" t="s">
        <v>626</v>
      </c>
      <c r="F2" s="52" t="str">
        <f>VLOOKUP($C$1,'Sheet1 (5)'!A1:AC69,27,0)</f>
        <v>OTH</v>
      </c>
    </row>
    <row r="3" spans="2:16" ht="18.5" x14ac:dyDescent="0.45">
      <c r="B3" s="49" t="s">
        <v>592</v>
      </c>
      <c r="C3" s="48">
        <f>VLOOKUP($C$1,'Sheet1 (5)'!A1:Z64,3,0)</f>
        <v>39056</v>
      </c>
      <c r="E3" s="81" t="s">
        <v>599</v>
      </c>
      <c r="F3" s="52">
        <f>VLOOKUP($C$1,'Sheet1 (5)'!A1:AC69,28,0)</f>
        <v>0</v>
      </c>
    </row>
    <row r="4" spans="2:16" ht="18.5" x14ac:dyDescent="0.45">
      <c r="B4" s="47" t="s">
        <v>11</v>
      </c>
      <c r="C4" s="48" t="str">
        <f>VLOOKUP($C$1,'Sheet1 (5)'!A1:Z64,13,0)</f>
        <v>SHIV POOJAN</v>
      </c>
      <c r="E4" s="81" t="s">
        <v>625</v>
      </c>
      <c r="F4" s="52">
        <f>VLOOKUP($C$1,'Sheet1 (5)'!A2:AC69,29,0)</f>
        <v>0</v>
      </c>
    </row>
    <row r="5" spans="2:16" ht="18.5" x14ac:dyDescent="0.45">
      <c r="B5" s="50" t="s">
        <v>13</v>
      </c>
      <c r="C5" s="48" t="str">
        <f>VLOOKUP($C$1,'Sheet1 (5)'!A1:Z66,15,0)</f>
        <v>DEV LATA DEVI</v>
      </c>
    </row>
    <row r="6" spans="2:16" ht="18.5" x14ac:dyDescent="0.45">
      <c r="B6" s="50" t="s">
        <v>5</v>
      </c>
      <c r="C6" s="51">
        <f>VLOOKUP($C$1,'Sheet1 (5)'!A1:Z68,7,0)</f>
        <v>40544</v>
      </c>
      <c r="F6" s="44" t="s">
        <v>627</v>
      </c>
      <c r="G6" s="44" t="s">
        <v>628</v>
      </c>
      <c r="H6" s="44" t="s">
        <v>628</v>
      </c>
      <c r="I6" s="44"/>
    </row>
    <row r="7" spans="2:16" ht="18.5" x14ac:dyDescent="0.45">
      <c r="B7" s="49"/>
      <c r="C7" s="48"/>
      <c r="E7" s="83"/>
      <c r="F7" s="44" t="s">
        <v>61</v>
      </c>
      <c r="G7" s="44" t="s">
        <v>31</v>
      </c>
      <c r="H7" s="44" t="s">
        <v>377</v>
      </c>
      <c r="I7" s="44"/>
    </row>
    <row r="8" spans="2:16" ht="18.5" x14ac:dyDescent="0.45">
      <c r="B8" s="50" t="s">
        <v>19</v>
      </c>
      <c r="C8" s="48" t="str">
        <f>VLOOKUP($C$1,'Sheet1 (5)'!A1:Z69,24,0)</f>
        <v>VISHWAKARMA NAGAR RENUKOOT</v>
      </c>
      <c r="F8" s="44"/>
      <c r="G8" s="44">
        <f>COUNTIFS('Sheet1 (5)'!Q2:Q64,G7,'Sheet1 (5)'!T2:T64,F7)</f>
        <v>7</v>
      </c>
      <c r="H8" s="44">
        <f>COUNTIFS('Sheet1 (5)'!Q2:Q64,H7,'Sheet1 (5)'!T2:T64,F7)</f>
        <v>6</v>
      </c>
      <c r="I8" s="44">
        <f>SUM(G8:H8)</f>
        <v>13</v>
      </c>
      <c r="P8">
        <v>13</v>
      </c>
    </row>
    <row r="9" spans="2:16" ht="26" x14ac:dyDescent="0.6">
      <c r="B9" s="50" t="s">
        <v>20</v>
      </c>
      <c r="C9" s="82">
        <f>VLOOKUP($C$1,'Sheet1 (5)'!A1:Z69,25,0)</f>
        <v>9519725292</v>
      </c>
      <c r="P9">
        <v>46</v>
      </c>
    </row>
    <row r="10" spans="2:16" ht="18.5" x14ac:dyDescent="0.45">
      <c r="B10" s="50" t="s">
        <v>21</v>
      </c>
      <c r="C10" s="48" t="str">
        <f>LOWER(VLOOKUP($C$1,'Sheet1 (5)'!A1:Z69,26,0))</f>
        <v>awanitk94@gmail.com</v>
      </c>
      <c r="F10" s="44" t="s">
        <v>629</v>
      </c>
      <c r="G10" s="44" t="s">
        <v>628</v>
      </c>
      <c r="H10" s="44" t="s">
        <v>628</v>
      </c>
      <c r="I10" s="44"/>
      <c r="P10">
        <v>3</v>
      </c>
    </row>
    <row r="11" spans="2:16" ht="18.5" x14ac:dyDescent="0.45">
      <c r="B11" s="49"/>
      <c r="C11" s="48"/>
      <c r="F11" s="44" t="s">
        <v>606</v>
      </c>
      <c r="G11" s="44" t="s">
        <v>31</v>
      </c>
      <c r="H11" s="44" t="s">
        <v>377</v>
      </c>
      <c r="I11" s="44"/>
      <c r="P11">
        <v>1</v>
      </c>
    </row>
    <row r="12" spans="2:16" ht="18.5" x14ac:dyDescent="0.45">
      <c r="B12" s="50" t="s">
        <v>3</v>
      </c>
      <c r="C12" s="48">
        <f>VLOOKUP($C$1,'Sheet1 (5)'!A1:Z69,5,0)</f>
        <v>21573201849</v>
      </c>
      <c r="F12" s="44"/>
      <c r="G12" s="44">
        <f>COUNTIFS('Sheet1 (5)'!Q2:Q64,G11,'Sheet1 (5)'!AA2:AA64,F11)</f>
        <v>4</v>
      </c>
      <c r="H12" s="44">
        <f>COUNTIFS('Sheet1 (5)'!Q2:Q64,H11,'Sheet1 (5)'!AA2:AA64,F11)</f>
        <v>4</v>
      </c>
      <c r="I12" s="44">
        <f>SUM(G12:H12)</f>
        <v>8</v>
      </c>
      <c r="P12">
        <f>SUM(P8:P11)</f>
        <v>63</v>
      </c>
    </row>
    <row r="13" spans="2:16" ht="18.5" x14ac:dyDescent="0.45">
      <c r="B13" s="50" t="s">
        <v>4</v>
      </c>
      <c r="C13" s="52">
        <f>VLOOKUP($C$1,'Sheet1 (5)'!A1:Z69,6,0)</f>
        <v>940879560324</v>
      </c>
    </row>
    <row r="14" spans="2:16" ht="18.5" x14ac:dyDescent="0.45">
      <c r="B14" s="48"/>
      <c r="C14" s="53"/>
    </row>
    <row r="15" spans="2:16" ht="18.5" x14ac:dyDescent="0.45">
      <c r="B15" s="50" t="s">
        <v>589</v>
      </c>
      <c r="C15" s="52" t="str">
        <f>VLOOKUP($C$1,'Sheet1 (5)'!A1:Z69,20,0)</f>
        <v>OBC</v>
      </c>
      <c r="F15" s="44" t="s">
        <v>630</v>
      </c>
      <c r="G15" s="44" t="s">
        <v>628</v>
      </c>
      <c r="H15" s="44" t="s">
        <v>628</v>
      </c>
      <c r="I15" s="44"/>
    </row>
    <row r="16" spans="2:16" ht="18.5" x14ac:dyDescent="0.45">
      <c r="B16" s="50" t="s">
        <v>590</v>
      </c>
      <c r="C16" s="52" t="str">
        <f>VLOOKUP($C$1,'Sheet1 (5)'!A1:Z69,19,0)</f>
        <v>RONIYAR</v>
      </c>
      <c r="F16" s="44" t="s">
        <v>34</v>
      </c>
      <c r="G16" s="44" t="s">
        <v>31</v>
      </c>
      <c r="H16" s="44" t="s">
        <v>377</v>
      </c>
      <c r="I16" s="44"/>
    </row>
    <row r="17" spans="2:9" ht="18.5" x14ac:dyDescent="0.45">
      <c r="B17" s="50" t="s">
        <v>591</v>
      </c>
      <c r="C17" s="52" t="str">
        <f>VLOOKUP($C$1,'Sheet1 (5)'!A1:Z69,17,0)</f>
        <v>M</v>
      </c>
      <c r="F17" s="44"/>
      <c r="G17" s="44">
        <f>COUNTIFS('Sheet1 (5)'!Q2:Q64,G16,'Sheet1 (5)'!V2:V64,F16)</f>
        <v>34</v>
      </c>
      <c r="H17" s="44">
        <f>COUNTIFS('Sheet1 (5)'!Q2:Q64,H16,'Sheet1 (5)'!V2:V64,F16)</f>
        <v>22</v>
      </c>
      <c r="I17" s="44">
        <f>SUM(G17:H17)</f>
        <v>56</v>
      </c>
    </row>
    <row r="18" spans="2:9" ht="18.5" x14ac:dyDescent="0.45">
      <c r="B18" s="50" t="s">
        <v>18</v>
      </c>
      <c r="C18" s="52" t="str">
        <f>VLOOKUP($C$1,'Sheet1 (5)'!A1:Z69,22,0)</f>
        <v>H</v>
      </c>
    </row>
  </sheetData>
  <dataValidations count="4">
    <dataValidation type="list" allowBlank="1" showInputMessage="1" showErrorMessage="1" sqref="F7">
      <formula1>"GEN, OBC, SC, ST, ALL"</formula1>
    </dataValidation>
    <dataValidation type="list" allowBlank="1" showInputMessage="1" showErrorMessage="1" sqref="G7:H7 G11:H11 G16:H16">
      <formula1>"M, F"</formula1>
    </dataValidation>
    <dataValidation type="list" allowBlank="1" showInputMessage="1" showErrorMessage="1" sqref="F11">
      <formula1>"HE, SUPPLY, OTH"</formula1>
    </dataValidation>
    <dataValidation type="list" allowBlank="1" showInputMessage="1" showErrorMessage="1" sqref="F16">
      <formula1>"H, M"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view="pageBreakPreview" zoomScale="60" zoomScaleNormal="100" workbookViewId="0">
      <selection activeCell="C9" sqref="C9"/>
    </sheetView>
  </sheetViews>
  <sheetFormatPr defaultRowHeight="14.5" x14ac:dyDescent="0.35"/>
  <cols>
    <col min="1" max="1" width="6.90625" bestFit="1" customWidth="1"/>
    <col min="2" max="2" width="14.81640625" bestFit="1" customWidth="1"/>
    <col min="3" max="3" width="40.90625" customWidth="1"/>
    <col min="4" max="4" width="13.7265625" customWidth="1"/>
  </cols>
  <sheetData>
    <row r="1" spans="1:4" x14ac:dyDescent="0.35">
      <c r="A1" s="127" t="s">
        <v>632</v>
      </c>
      <c r="B1" s="127"/>
      <c r="C1" s="127"/>
      <c r="D1" s="127"/>
    </row>
    <row r="2" spans="1:4" x14ac:dyDescent="0.35">
      <c r="A2" s="126" t="s">
        <v>724</v>
      </c>
      <c r="B2" s="126"/>
      <c r="C2" s="126"/>
      <c r="D2" s="126"/>
    </row>
    <row r="3" spans="1:4" x14ac:dyDescent="0.35">
      <c r="A3" s="121" t="s">
        <v>718</v>
      </c>
      <c r="B3" s="121" t="s">
        <v>719</v>
      </c>
      <c r="C3" s="121" t="s">
        <v>720</v>
      </c>
      <c r="D3" s="121" t="s">
        <v>721</v>
      </c>
    </row>
    <row r="4" spans="1:4" ht="29.5" customHeight="1" x14ac:dyDescent="0.35">
      <c r="A4" s="122">
        <v>1</v>
      </c>
      <c r="B4" s="123">
        <v>37239</v>
      </c>
      <c r="C4" s="122" t="s">
        <v>54</v>
      </c>
      <c r="D4" s="122" t="s">
        <v>722</v>
      </c>
    </row>
    <row r="5" spans="1:4" ht="29.5" customHeight="1" x14ac:dyDescent="0.35">
      <c r="A5" s="122">
        <v>2</v>
      </c>
      <c r="B5" s="123">
        <v>39076</v>
      </c>
      <c r="C5" s="122" t="s">
        <v>350</v>
      </c>
      <c r="D5" s="122" t="s">
        <v>722</v>
      </c>
    </row>
    <row r="6" spans="1:4" ht="29.5" customHeight="1" x14ac:dyDescent="0.35">
      <c r="A6" s="122">
        <v>3</v>
      </c>
      <c r="B6" s="123">
        <v>37253</v>
      </c>
      <c r="C6" s="122" t="s">
        <v>183</v>
      </c>
      <c r="D6" s="122" t="s">
        <v>722</v>
      </c>
    </row>
    <row r="7" spans="1:4" ht="29.5" customHeight="1" x14ac:dyDescent="0.35">
      <c r="A7" s="122">
        <v>4</v>
      </c>
      <c r="B7" s="123">
        <v>39007</v>
      </c>
      <c r="C7" s="122" t="s">
        <v>238</v>
      </c>
      <c r="D7" s="122" t="s">
        <v>722</v>
      </c>
    </row>
    <row r="8" spans="1:4" ht="29.5" customHeight="1" x14ac:dyDescent="0.35">
      <c r="A8" s="122">
        <v>5</v>
      </c>
      <c r="B8" s="123">
        <v>37181</v>
      </c>
      <c r="C8" s="122" t="s">
        <v>262</v>
      </c>
      <c r="D8" s="122" t="s">
        <v>722</v>
      </c>
    </row>
    <row r="9" spans="1:4" ht="29.5" customHeight="1" x14ac:dyDescent="0.35">
      <c r="A9" s="122">
        <v>6</v>
      </c>
      <c r="B9" s="123">
        <v>38995</v>
      </c>
      <c r="C9" s="122" t="s">
        <v>572</v>
      </c>
      <c r="D9" s="122" t="s">
        <v>722</v>
      </c>
    </row>
    <row r="10" spans="1:4" ht="29.5" customHeight="1" x14ac:dyDescent="0.35">
      <c r="A10" s="122">
        <v>7</v>
      </c>
      <c r="B10" s="123">
        <v>37070</v>
      </c>
      <c r="C10" s="122" t="s">
        <v>381</v>
      </c>
      <c r="D10" s="122" t="s">
        <v>722</v>
      </c>
    </row>
    <row r="11" spans="1:4" ht="29.5" customHeight="1" x14ac:dyDescent="0.35">
      <c r="A11" s="122">
        <v>8</v>
      </c>
      <c r="B11" s="123">
        <v>38990</v>
      </c>
      <c r="C11" s="122" t="s">
        <v>390</v>
      </c>
      <c r="D11" s="122" t="s">
        <v>722</v>
      </c>
    </row>
    <row r="12" spans="1:4" ht="29.5" customHeight="1" x14ac:dyDescent="0.35">
      <c r="A12" s="122">
        <v>9</v>
      </c>
      <c r="B12" s="123">
        <v>38999</v>
      </c>
      <c r="C12" s="122" t="s">
        <v>461</v>
      </c>
      <c r="D12" s="122" t="s">
        <v>722</v>
      </c>
    </row>
    <row r="13" spans="1:4" ht="29.5" customHeight="1" x14ac:dyDescent="0.35">
      <c r="A13" s="122">
        <v>10</v>
      </c>
      <c r="B13" s="123">
        <v>37069</v>
      </c>
      <c r="C13" s="122" t="s">
        <v>597</v>
      </c>
      <c r="D13" s="122" t="s">
        <v>722</v>
      </c>
    </row>
    <row r="14" spans="1:4" ht="29.5" customHeight="1" x14ac:dyDescent="0.35">
      <c r="A14" s="122">
        <v>11</v>
      </c>
      <c r="B14" s="123">
        <v>37068</v>
      </c>
      <c r="C14" s="122" t="s">
        <v>480</v>
      </c>
      <c r="D14" s="122" t="s">
        <v>722</v>
      </c>
    </row>
    <row r="15" spans="1:4" ht="29.5" customHeight="1" x14ac:dyDescent="0.35">
      <c r="A15" s="122">
        <v>12</v>
      </c>
      <c r="B15" s="123">
        <v>37143</v>
      </c>
      <c r="C15" s="122" t="s">
        <v>504</v>
      </c>
      <c r="D15" s="122" t="s">
        <v>722</v>
      </c>
    </row>
    <row r="16" spans="1:4" ht="29.5" customHeight="1" x14ac:dyDescent="0.35">
      <c r="A16" s="122">
        <v>13</v>
      </c>
      <c r="B16" s="123">
        <v>37124</v>
      </c>
      <c r="C16" s="122" t="s">
        <v>540</v>
      </c>
      <c r="D16" s="122" t="s">
        <v>722</v>
      </c>
    </row>
    <row r="17" spans="1:4" ht="29.5" customHeight="1" x14ac:dyDescent="0.35">
      <c r="A17" s="122">
        <v>14</v>
      </c>
      <c r="B17" s="123">
        <v>39032</v>
      </c>
      <c r="C17" s="122" t="s">
        <v>86</v>
      </c>
      <c r="D17" s="122" t="s">
        <v>723</v>
      </c>
    </row>
    <row r="18" spans="1:4" ht="29.5" customHeight="1" x14ac:dyDescent="0.35">
      <c r="A18" s="122">
        <v>15</v>
      </c>
      <c r="B18" s="123">
        <v>37170</v>
      </c>
      <c r="C18" s="122" t="s">
        <v>108</v>
      </c>
      <c r="D18" s="122" t="s">
        <v>723</v>
      </c>
    </row>
    <row r="19" spans="1:4" ht="29.5" customHeight="1" x14ac:dyDescent="0.35">
      <c r="A19" s="122">
        <v>16</v>
      </c>
      <c r="B19" s="123">
        <v>39033</v>
      </c>
      <c r="C19" s="122" t="s">
        <v>201</v>
      </c>
      <c r="D19" s="122" t="s">
        <v>723</v>
      </c>
    </row>
    <row r="20" spans="1:4" ht="29.5" customHeight="1" x14ac:dyDescent="0.35">
      <c r="A20" s="122">
        <v>17</v>
      </c>
      <c r="B20" s="123">
        <v>37242</v>
      </c>
      <c r="C20" s="122" t="s">
        <v>255</v>
      </c>
      <c r="D20" s="122" t="s">
        <v>723</v>
      </c>
    </row>
    <row r="21" spans="1:4" ht="29.5" customHeight="1" x14ac:dyDescent="0.35">
      <c r="A21" s="122">
        <v>18</v>
      </c>
      <c r="B21" s="123">
        <v>37111</v>
      </c>
      <c r="C21" s="122" t="s">
        <v>596</v>
      </c>
      <c r="D21" s="122" t="s">
        <v>723</v>
      </c>
    </row>
    <row r="22" spans="1:4" ht="29.5" customHeight="1" x14ac:dyDescent="0.35">
      <c r="A22" s="122">
        <v>19</v>
      </c>
      <c r="B22" s="123">
        <v>38962</v>
      </c>
      <c r="C22" s="122" t="s">
        <v>406</v>
      </c>
      <c r="D22" s="122" t="s">
        <v>723</v>
      </c>
    </row>
    <row r="23" spans="1:4" ht="29.5" customHeight="1" x14ac:dyDescent="0.35">
      <c r="A23" s="122">
        <v>20</v>
      </c>
      <c r="B23" s="123">
        <v>37110</v>
      </c>
      <c r="C23" s="122" t="s">
        <v>431</v>
      </c>
      <c r="D23" s="122" t="s">
        <v>723</v>
      </c>
    </row>
    <row r="24" spans="1:4" ht="29.5" customHeight="1" x14ac:dyDescent="0.35">
      <c r="A24" s="122">
        <v>21</v>
      </c>
      <c r="B24" s="123">
        <v>37113</v>
      </c>
      <c r="C24" s="122" t="s">
        <v>519</v>
      </c>
      <c r="D24" s="122" t="s">
        <v>723</v>
      </c>
    </row>
    <row r="25" spans="1:4" ht="15" thickBot="1" x14ac:dyDescent="0.4">
      <c r="A25" s="120"/>
      <c r="B25" s="120"/>
      <c r="C25" s="120"/>
      <c r="D25" s="120"/>
    </row>
  </sheetData>
  <sortState ref="A2:D23">
    <sortCondition ref="D2:D23"/>
  </sortState>
  <mergeCells count="2">
    <mergeCell ref="A2:D2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 (6)</vt:lpstr>
      <vt:lpstr>Sheet1 (5)</vt:lpstr>
      <vt:lpstr>Sheet3</vt:lpstr>
      <vt:lpstr>Sheet4</vt:lpstr>
      <vt:lpstr>Sheet2</vt:lpstr>
      <vt:lpstr>Sheet1</vt:lpstr>
      <vt:lpstr>'Sheet1 (5)'!Print_Area</vt:lpstr>
      <vt:lpstr>'Sheet1 (6)'!Print_Area</vt:lpstr>
      <vt:lpstr>'Sheet1 (5)'!Print_Titles</vt:lpstr>
      <vt:lpstr>'Sheet1 (6)'!Print_Titles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abic13296</dc:creator>
  <cp:lastModifiedBy>LENOVO</cp:lastModifiedBy>
  <cp:lastPrinted>2026-08-27T07:45:48Z</cp:lastPrinted>
  <dcterms:created xsi:type="dcterms:W3CDTF">2025-09-10T16:28:02Z</dcterms:created>
  <dcterms:modified xsi:type="dcterms:W3CDTF">2026-09-27T04:35:10Z</dcterms:modified>
</cp:coreProperties>
</file>